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u\Documents\GitHub\2025_greeen_prairie\data\raw\"/>
    </mc:Choice>
  </mc:AlternateContent>
  <xr:revisionPtr revIDLastSave="0" documentId="13_ncr:1_{213C7EB7-A291-402A-877D-1A34AD2C0543}" xr6:coauthVersionLast="47" xr6:coauthVersionMax="47" xr10:uidLastSave="{00000000-0000-0000-0000-000000000000}"/>
  <bookViews>
    <workbookView xWindow="300" yWindow="-90" windowWidth="18900" windowHeight="10170" xr2:uid="{00000000-000D-0000-FFFF-FFFF00000000}"/>
  </bookViews>
  <sheets>
    <sheet name="Calculations" sheetId="1" r:id="rId1"/>
    <sheet name="To Mix" sheetId="2" r:id="rId2"/>
    <sheet name="labels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1" l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25" i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Q7" i="1"/>
  <c r="Q8" i="1"/>
  <c r="Q9" i="1"/>
  <c r="Q10" i="1"/>
  <c r="R10" i="1" s="1"/>
  <c r="Q11" i="1"/>
  <c r="R11" i="1" s="1"/>
  <c r="Q12" i="1"/>
  <c r="R12" i="1" s="1"/>
  <c r="Q13" i="1"/>
  <c r="R13" i="1" s="1"/>
  <c r="Q14" i="1"/>
  <c r="R14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N5" i="1"/>
  <c r="N6" i="1"/>
  <c r="N7" i="1"/>
  <c r="O7" i="1" s="1"/>
  <c r="N8" i="1"/>
  <c r="Y8" i="1" s="1"/>
  <c r="Z8" i="1" s="1"/>
  <c r="AA8" i="1" s="1"/>
  <c r="N9" i="1"/>
  <c r="O9" i="1" s="1"/>
  <c r="N10" i="1"/>
  <c r="Y10" i="1" s="1"/>
  <c r="Z10" i="1" s="1"/>
  <c r="AA10" i="1" s="1"/>
  <c r="N11" i="1"/>
  <c r="O11" i="1" s="1"/>
  <c r="N12" i="1"/>
  <c r="Y12" i="1" s="1"/>
  <c r="Z12" i="1" s="1"/>
  <c r="AA12" i="1" s="1"/>
  <c r="N13" i="1"/>
  <c r="O13" i="1" s="1"/>
  <c r="N14" i="1"/>
  <c r="N15" i="1"/>
  <c r="N16" i="1"/>
  <c r="N17" i="1"/>
  <c r="N18" i="1"/>
  <c r="N19" i="1"/>
  <c r="N20" i="1"/>
  <c r="N21" i="1"/>
  <c r="N22" i="1"/>
  <c r="N23" i="1"/>
  <c r="O23" i="1" s="1"/>
  <c r="N24" i="1"/>
  <c r="Y24" i="1" s="1"/>
  <c r="Z24" i="1" s="1"/>
  <c r="AA24" i="1" s="1"/>
  <c r="N25" i="1"/>
  <c r="O25" i="1" s="1"/>
  <c r="N26" i="1"/>
  <c r="Y26" i="1" s="1"/>
  <c r="Z26" i="1" s="1"/>
  <c r="AA26" i="1" s="1"/>
  <c r="N27" i="1"/>
  <c r="O27" i="1" s="1"/>
  <c r="N28" i="1"/>
  <c r="Y28" i="1" s="1"/>
  <c r="Z28" i="1" s="1"/>
  <c r="AA28" i="1" s="1"/>
  <c r="N29" i="1"/>
  <c r="O29" i="1" s="1"/>
  <c r="N30" i="1"/>
  <c r="N31" i="1"/>
  <c r="N32" i="1"/>
  <c r="N33" i="1"/>
  <c r="N34" i="1"/>
  <c r="N35" i="1"/>
  <c r="N36" i="1"/>
  <c r="N4" i="1"/>
  <c r="Y4" i="1" s="1"/>
  <c r="Z4" i="1" s="1"/>
  <c r="AA4" i="1" s="1"/>
  <c r="R7" i="1"/>
  <c r="R9" i="1"/>
  <c r="X9" i="1"/>
  <c r="X25" i="1"/>
  <c r="V36" i="1"/>
  <c r="W36" i="1" s="1"/>
  <c r="X36" i="1" s="1"/>
  <c r="V35" i="1"/>
  <c r="W35" i="1" s="1"/>
  <c r="X35" i="1" s="1"/>
  <c r="V34" i="1"/>
  <c r="W34" i="1" s="1"/>
  <c r="X34" i="1" s="1"/>
  <c r="V33" i="1"/>
  <c r="W33" i="1" s="1"/>
  <c r="X33" i="1" s="1"/>
  <c r="V32" i="1"/>
  <c r="W32" i="1" s="1"/>
  <c r="X32" i="1" s="1"/>
  <c r="V31" i="1"/>
  <c r="V30" i="1"/>
  <c r="V29" i="1"/>
  <c r="V28" i="1"/>
  <c r="V27" i="1"/>
  <c r="V26" i="1"/>
  <c r="V25" i="1"/>
  <c r="V24" i="1"/>
  <c r="W24" i="1" s="1"/>
  <c r="X24" i="1" s="1"/>
  <c r="V23" i="1"/>
  <c r="W23" i="1" s="1"/>
  <c r="X23" i="1" s="1"/>
  <c r="V22" i="1"/>
  <c r="W22" i="1" s="1"/>
  <c r="X22" i="1" s="1"/>
  <c r="V21" i="1"/>
  <c r="W21" i="1" s="1"/>
  <c r="X21" i="1" s="1"/>
  <c r="V20" i="1"/>
  <c r="W20" i="1" s="1"/>
  <c r="X20" i="1" s="1"/>
  <c r="V19" i="1"/>
  <c r="W19" i="1" s="1"/>
  <c r="X19" i="1" s="1"/>
  <c r="V18" i="1"/>
  <c r="W18" i="1" s="1"/>
  <c r="X18" i="1" s="1"/>
  <c r="V17" i="1"/>
  <c r="W17" i="1" s="1"/>
  <c r="X17" i="1" s="1"/>
  <c r="V16" i="1"/>
  <c r="W16" i="1" s="1"/>
  <c r="X16" i="1" s="1"/>
  <c r="V15" i="1"/>
  <c r="V14" i="1"/>
  <c r="V13" i="1"/>
  <c r="V12" i="1"/>
  <c r="V11" i="1"/>
  <c r="V10" i="1"/>
  <c r="V9" i="1"/>
  <c r="V8" i="1"/>
  <c r="W8" i="1" s="1"/>
  <c r="X8" i="1" s="1"/>
  <c r="V7" i="1"/>
  <c r="W7" i="1" s="1"/>
  <c r="X7" i="1" s="1"/>
  <c r="V6" i="1"/>
  <c r="W6" i="1" s="1"/>
  <c r="X6" i="1" s="1"/>
  <c r="V5" i="1"/>
  <c r="W5" i="1" s="1"/>
  <c r="X5" i="1" s="1"/>
  <c r="V4" i="1"/>
  <c r="W4" i="1" s="1"/>
  <c r="X4" i="1" s="1"/>
  <c r="S36" i="1"/>
  <c r="T36" i="1" s="1"/>
  <c r="U36" i="1" s="1"/>
  <c r="S35" i="1"/>
  <c r="T35" i="1" s="1"/>
  <c r="U35" i="1" s="1"/>
  <c r="S34" i="1"/>
  <c r="T34" i="1" s="1"/>
  <c r="U34" i="1" s="1"/>
  <c r="S33" i="1"/>
  <c r="T33" i="1" s="1"/>
  <c r="U33" i="1" s="1"/>
  <c r="S32" i="1"/>
  <c r="T32" i="1" s="1"/>
  <c r="U32" i="1" s="1"/>
  <c r="S31" i="1"/>
  <c r="S30" i="1"/>
  <c r="S29" i="1"/>
  <c r="S28" i="1"/>
  <c r="S27" i="1"/>
  <c r="S26" i="1"/>
  <c r="S25" i="1"/>
  <c r="S24" i="1"/>
  <c r="T24" i="1" s="1"/>
  <c r="U24" i="1" s="1"/>
  <c r="S23" i="1"/>
  <c r="T23" i="1" s="1"/>
  <c r="U23" i="1" s="1"/>
  <c r="S22" i="1"/>
  <c r="T22" i="1" s="1"/>
  <c r="U22" i="1" s="1"/>
  <c r="S21" i="1"/>
  <c r="T21" i="1" s="1"/>
  <c r="U21" i="1" s="1"/>
  <c r="S20" i="1"/>
  <c r="T20" i="1" s="1"/>
  <c r="U20" i="1" s="1"/>
  <c r="S19" i="1"/>
  <c r="T19" i="1" s="1"/>
  <c r="U19" i="1" s="1"/>
  <c r="S18" i="1"/>
  <c r="T18" i="1" s="1"/>
  <c r="U18" i="1" s="1"/>
  <c r="S17" i="1"/>
  <c r="T17" i="1" s="1"/>
  <c r="U17" i="1" s="1"/>
  <c r="S16" i="1"/>
  <c r="T16" i="1" s="1"/>
  <c r="U16" i="1" s="1"/>
  <c r="S15" i="1"/>
  <c r="S14" i="1"/>
  <c r="S13" i="1"/>
  <c r="S12" i="1"/>
  <c r="S11" i="1"/>
  <c r="S10" i="1"/>
  <c r="S9" i="1"/>
  <c r="S8" i="1"/>
  <c r="T8" i="1" s="1"/>
  <c r="U8" i="1" s="1"/>
  <c r="S7" i="1"/>
  <c r="T7" i="1" s="1"/>
  <c r="U7" i="1" s="1"/>
  <c r="S6" i="1"/>
  <c r="T6" i="1" s="1"/>
  <c r="U6" i="1" s="1"/>
  <c r="S5" i="1"/>
  <c r="T5" i="1" s="1"/>
  <c r="U5" i="1" s="1"/>
  <c r="S4" i="1"/>
  <c r="T4" i="1" s="1"/>
  <c r="U4" i="1" s="1"/>
  <c r="R8" i="1"/>
  <c r="R30" i="1"/>
  <c r="P5" i="1"/>
  <c r="Q5" i="1" s="1"/>
  <c r="R5" i="1" s="1"/>
  <c r="P6" i="1"/>
  <c r="Q6" i="1" s="1"/>
  <c r="R6" i="1" s="1"/>
  <c r="P7" i="1"/>
  <c r="P8" i="1"/>
  <c r="P9" i="1"/>
  <c r="P10" i="1"/>
  <c r="P11" i="1"/>
  <c r="P12" i="1"/>
  <c r="P13" i="1"/>
  <c r="P14" i="1"/>
  <c r="P15" i="1"/>
  <c r="Q15" i="1" s="1"/>
  <c r="R15" i="1" s="1"/>
  <c r="P16" i="1"/>
  <c r="Q16" i="1" s="1"/>
  <c r="P17" i="1"/>
  <c r="Q17" i="1" s="1"/>
  <c r="R17" i="1" s="1"/>
  <c r="P18" i="1"/>
  <c r="Q18" i="1" s="1"/>
  <c r="P19" i="1"/>
  <c r="Q19" i="1" s="1"/>
  <c r="R19" i="1" s="1"/>
  <c r="P20" i="1"/>
  <c r="Q20" i="1" s="1"/>
  <c r="R20" i="1" s="1"/>
  <c r="P21" i="1"/>
  <c r="Q21" i="1" s="1"/>
  <c r="R21" i="1" s="1"/>
  <c r="P22" i="1"/>
  <c r="Q22" i="1" s="1"/>
  <c r="R22" i="1" s="1"/>
  <c r="P23" i="1"/>
  <c r="P24" i="1"/>
  <c r="P25" i="1"/>
  <c r="P26" i="1"/>
  <c r="P27" i="1"/>
  <c r="P28" i="1"/>
  <c r="P29" i="1"/>
  <c r="P30" i="1"/>
  <c r="P31" i="1"/>
  <c r="Q31" i="1" s="1"/>
  <c r="R31" i="1" s="1"/>
  <c r="P32" i="1"/>
  <c r="Q32" i="1" s="1"/>
  <c r="P33" i="1"/>
  <c r="Q33" i="1" s="1"/>
  <c r="R33" i="1" s="1"/>
  <c r="P34" i="1"/>
  <c r="Q34" i="1" s="1"/>
  <c r="P35" i="1"/>
  <c r="Q35" i="1" s="1"/>
  <c r="R35" i="1" s="1"/>
  <c r="P36" i="1"/>
  <c r="Q36" i="1" s="1"/>
  <c r="R36" i="1" s="1"/>
  <c r="P4" i="1"/>
  <c r="Q4" i="1" s="1"/>
  <c r="R4" i="1" s="1"/>
  <c r="O5" i="1"/>
  <c r="O15" i="1"/>
  <c r="O17" i="1"/>
  <c r="O19" i="1"/>
  <c r="O21" i="1"/>
  <c r="O31" i="1"/>
  <c r="O33" i="1"/>
  <c r="O35" i="1"/>
  <c r="M36" i="1"/>
  <c r="Y36" i="1" s="1"/>
  <c r="Z36" i="1" s="1"/>
  <c r="AA36" i="1" s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Y20" i="1" s="1"/>
  <c r="Z20" i="1" s="1"/>
  <c r="AA20" i="1" s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Y22" i="1" l="1"/>
  <c r="Z22" i="1" s="1"/>
  <c r="AA22" i="1" s="1"/>
  <c r="Y34" i="1"/>
  <c r="Z34" i="1" s="1"/>
  <c r="AA34" i="1" s="1"/>
  <c r="R34" i="1"/>
  <c r="Y18" i="1"/>
  <c r="Z18" i="1" s="1"/>
  <c r="AA18" i="1" s="1"/>
  <c r="R18" i="1"/>
  <c r="Y6" i="1"/>
  <c r="Z6" i="1" s="1"/>
  <c r="AA6" i="1" s="1"/>
  <c r="R32" i="1"/>
  <c r="Y32" i="1"/>
  <c r="Z32" i="1" s="1"/>
  <c r="AA32" i="1" s="1"/>
  <c r="R16" i="1"/>
  <c r="Y16" i="1"/>
  <c r="Z16" i="1" s="1"/>
  <c r="AA16" i="1" s="1"/>
  <c r="Y30" i="1"/>
  <c r="Z30" i="1" s="1"/>
  <c r="AA30" i="1" s="1"/>
  <c r="Y14" i="1"/>
  <c r="Z14" i="1" s="1"/>
  <c r="AA14" i="1" s="1"/>
  <c r="O36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Y35" i="1"/>
  <c r="Z35" i="1" s="1"/>
  <c r="AA35" i="1" s="1"/>
  <c r="Y33" i="1"/>
  <c r="Z33" i="1" s="1"/>
  <c r="AA33" i="1" s="1"/>
  <c r="Y31" i="1"/>
  <c r="Z31" i="1" s="1"/>
  <c r="AA31" i="1" s="1"/>
  <c r="Y29" i="1"/>
  <c r="Z29" i="1" s="1"/>
  <c r="AA29" i="1" s="1"/>
  <c r="Y27" i="1"/>
  <c r="Z27" i="1" s="1"/>
  <c r="AA27" i="1" s="1"/>
  <c r="Y25" i="1"/>
  <c r="Z25" i="1" s="1"/>
  <c r="AA25" i="1" s="1"/>
  <c r="Y23" i="1"/>
  <c r="Z23" i="1" s="1"/>
  <c r="AA23" i="1" s="1"/>
  <c r="Y21" i="1"/>
  <c r="Z21" i="1" s="1"/>
  <c r="AA21" i="1" s="1"/>
  <c r="Y19" i="1"/>
  <c r="Z19" i="1" s="1"/>
  <c r="AA19" i="1" s="1"/>
  <c r="Y17" i="1"/>
  <c r="Z17" i="1" s="1"/>
  <c r="AA17" i="1" s="1"/>
  <c r="Y15" i="1"/>
  <c r="Z15" i="1" s="1"/>
  <c r="AA15" i="1" s="1"/>
  <c r="Y13" i="1"/>
  <c r="Z13" i="1" s="1"/>
  <c r="AA13" i="1" s="1"/>
  <c r="Y11" i="1"/>
  <c r="Z11" i="1" s="1"/>
  <c r="AA11" i="1" s="1"/>
  <c r="Y9" i="1"/>
  <c r="Z9" i="1" s="1"/>
  <c r="AA9" i="1" s="1"/>
  <c r="Y7" i="1"/>
  <c r="Z7" i="1" s="1"/>
  <c r="AA7" i="1" s="1"/>
  <c r="O6" i="1"/>
  <c r="Y5" i="1"/>
  <c r="Z5" i="1" s="1"/>
  <c r="AA5" i="1" s="1"/>
  <c r="O4" i="1"/>
</calcChain>
</file>

<file path=xl/sharedStrings.xml><?xml version="1.0" encoding="utf-8"?>
<sst xmlns="http://schemas.openxmlformats.org/spreadsheetml/2006/main" count="314" uniqueCount="109">
  <si>
    <t>FULL DIV</t>
  </si>
  <si>
    <t>6 spp mix</t>
  </si>
  <si>
    <t>4 spp mix</t>
  </si>
  <si>
    <t>2 spp mix</t>
  </si>
  <si>
    <t>Species</t>
  </si>
  <si>
    <t>oz/acre for each spp</t>
  </si>
  <si>
    <t>Total acres (3 plots x 6 reps x 3 sites@ 25m2)</t>
  </si>
  <si>
    <t>Total acres (2 plots x 6 reps x 3 sites @ 25m2)</t>
  </si>
  <si>
    <t>Echinacea purpurea</t>
  </si>
  <si>
    <t>Penstemon digitalis</t>
  </si>
  <si>
    <t>Rudbeckia hirta</t>
  </si>
  <si>
    <t>Asclepias syriaca</t>
  </si>
  <si>
    <t>Asclepias tuberosa</t>
  </si>
  <si>
    <t>Baptisia lactea</t>
  </si>
  <si>
    <t>Lupinus perennis</t>
  </si>
  <si>
    <t>Tradescantia ohiensis</t>
  </si>
  <si>
    <t>Penstemon hirsutus</t>
  </si>
  <si>
    <t>Ratibida pinnata</t>
  </si>
  <si>
    <t>Petalostemum purpureum</t>
  </si>
  <si>
    <t>Verbena stricta</t>
  </si>
  <si>
    <t>Potentilla arguta</t>
  </si>
  <si>
    <t>Cassia fasciculata</t>
  </si>
  <si>
    <t>Monarda fistulosa</t>
  </si>
  <si>
    <t>Solidago juncea</t>
  </si>
  <si>
    <t>Liatris cylindracea</t>
  </si>
  <si>
    <t>Desmodium illinoense</t>
  </si>
  <si>
    <t>Monarda punctata</t>
  </si>
  <si>
    <t>Aster sagittifolius</t>
  </si>
  <si>
    <t>Eryngium yuccifolium</t>
  </si>
  <si>
    <t>Lespedeza capitata</t>
  </si>
  <si>
    <t>Silphium terebinthinaceum</t>
  </si>
  <si>
    <t>Solidago rigida</t>
  </si>
  <si>
    <t>Aster oolentangiensis</t>
  </si>
  <si>
    <t>Aster ericoides</t>
  </si>
  <si>
    <t>Aster laevis</t>
  </si>
  <si>
    <t>Helianthus occidentalis</t>
  </si>
  <si>
    <t>Solidago nemoralis</t>
  </si>
  <si>
    <t>Solidago speciosa</t>
  </si>
  <si>
    <t>Jared's Total Oz Sent</t>
  </si>
  <si>
    <t>Full Div</t>
  </si>
  <si>
    <t># mixes (3 plots x 6 reps x 3 sites)</t>
  </si>
  <si>
    <t>PLS</t>
  </si>
  <si>
    <t>grams in each</t>
  </si>
  <si>
    <t># mixes (2 plots x 6 reps x 3 sites)</t>
  </si>
  <si>
    <t>TOTAL OZ NEEDED</t>
  </si>
  <si>
    <t>6 spp per group</t>
  </si>
  <si>
    <t>4 spp per group</t>
  </si>
  <si>
    <t>2 spp per group</t>
  </si>
  <si>
    <t>ORDERING</t>
  </si>
  <si>
    <t>MIXING</t>
  </si>
  <si>
    <t>leftover</t>
  </si>
  <si>
    <t>oz in each (oz/acre * total acres / # mixes)/PLS</t>
  </si>
  <si>
    <t>Lespedeza virginica</t>
  </si>
  <si>
    <t>Zizea aptera</t>
  </si>
  <si>
    <t>Total bulk oz used</t>
  </si>
  <si>
    <t>Total PLS oz used</t>
  </si>
  <si>
    <t>Coreopsis lanceolata</t>
  </si>
  <si>
    <t>FULL MIX</t>
  </si>
  <si>
    <t>6 SPP</t>
  </si>
  <si>
    <t>4 SPP</t>
  </si>
  <si>
    <t>2 SPP</t>
  </si>
  <si>
    <t>6 species/grp (36 bags)</t>
  </si>
  <si>
    <t>Full mix (54 bags)</t>
  </si>
  <si>
    <t>4 species/grp (36 bags)</t>
  </si>
  <si>
    <t>2 species/grp (36 bags)</t>
  </si>
  <si>
    <t>name</t>
  </si>
  <si>
    <t>ASCSYR</t>
  </si>
  <si>
    <t>ASCTUB</t>
  </si>
  <si>
    <t>ASTOOL</t>
  </si>
  <si>
    <t>BAPLAC</t>
  </si>
  <si>
    <t>CORLAN</t>
  </si>
  <si>
    <t>DESILL</t>
  </si>
  <si>
    <t>ECHPUR</t>
  </si>
  <si>
    <t>ERYYUC</t>
  </si>
  <si>
    <t>HELOCC</t>
  </si>
  <si>
    <t>LESCAP</t>
  </si>
  <si>
    <t>LESVIR</t>
  </si>
  <si>
    <t>LIACYL</t>
  </si>
  <si>
    <t>LUPPER</t>
  </si>
  <si>
    <t>MONFIS</t>
  </si>
  <si>
    <t>MONPUN</t>
  </si>
  <si>
    <t>PENDIG</t>
  </si>
  <si>
    <t>PENHIR</t>
  </si>
  <si>
    <t>DRYARG</t>
  </si>
  <si>
    <t>RATPIN</t>
  </si>
  <si>
    <t>RUDHIR</t>
  </si>
  <si>
    <t>SILTER</t>
  </si>
  <si>
    <t>SOLNEM</t>
  </si>
  <si>
    <t>SOLRIG</t>
  </si>
  <si>
    <t>SOLSPE</t>
  </si>
  <si>
    <t>TRAOHI</t>
  </si>
  <si>
    <t>VERSTR</t>
  </si>
  <si>
    <t>ZIZAPT</t>
  </si>
  <si>
    <t>SOLJUN</t>
  </si>
  <si>
    <t>CHAFAS</t>
  </si>
  <si>
    <t>DALPUR</t>
  </si>
  <si>
    <t>SYMERI</t>
  </si>
  <si>
    <t>SYMLAE</t>
  </si>
  <si>
    <t>seeded_pool_33</t>
  </si>
  <si>
    <t>seeded_pool_18</t>
  </si>
  <si>
    <t>seeded_pool_12</t>
  </si>
  <si>
    <t>seeded_pool_6</t>
  </si>
  <si>
    <t>Androgpogon gerardii</t>
  </si>
  <si>
    <t>Bouteloua curtipendula</t>
  </si>
  <si>
    <t>Schizachyrium scoparium</t>
  </si>
  <si>
    <t>Sporobolus cryptandrus</t>
  </si>
  <si>
    <t>Panicum virgatum</t>
  </si>
  <si>
    <t>Sorgasthrum nutans</t>
  </si>
  <si>
    <t>SYMURO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</si>
</sst>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9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4" xfId="0" applyFont="1" applyBorder="1" applyAlignment="1">
      <alignment wrapText="1"/>
    </xf>
    <xf numFmtId="164" fontId="4" fillId="0" borderId="0" xfId="0" applyNumberFormat="1" applyFont="1"/>
    <xf numFmtId="164" fontId="4" fillId="0" borderId="8" xfId="0" applyNumberFormat="1" applyFont="1" applyBorder="1"/>
    <xf numFmtId="164" fontId="4" fillId="0" borderId="10" xfId="0" applyNumberFormat="1" applyFont="1" applyBorder="1"/>
    <xf numFmtId="1" fontId="4" fillId="0" borderId="1" xfId="0" applyNumberFormat="1" applyFont="1" applyBorder="1"/>
    <xf numFmtId="164" fontId="4" fillId="0" borderId="2" xfId="0" applyNumberFormat="1" applyFont="1" applyBorder="1"/>
    <xf numFmtId="164" fontId="4" fillId="0" borderId="3" xfId="0" applyNumberFormat="1" applyFont="1" applyBorder="1"/>
    <xf numFmtId="164" fontId="4" fillId="0" borderId="1" xfId="0" applyNumberFormat="1" applyFont="1" applyBorder="1"/>
    <xf numFmtId="1" fontId="4" fillId="0" borderId="7" xfId="0" applyNumberFormat="1" applyFont="1" applyBorder="1"/>
    <xf numFmtId="164" fontId="4" fillId="0" borderId="7" xfId="0" applyNumberFormat="1" applyFont="1" applyBorder="1"/>
    <xf numFmtId="0" fontId="4" fillId="0" borderId="6" xfId="0" applyFont="1" applyBorder="1"/>
    <xf numFmtId="164" fontId="4" fillId="0" borderId="5" xfId="0" applyNumberFormat="1" applyFont="1" applyBorder="1"/>
    <xf numFmtId="164" fontId="4" fillId="0" borderId="6" xfId="0" applyNumberFormat="1" applyFont="1" applyBorder="1"/>
    <xf numFmtId="164" fontId="4" fillId="0" borderId="9" xfId="0" applyNumberFormat="1" applyFont="1" applyBorder="1"/>
    <xf numFmtId="1" fontId="4" fillId="0" borderId="4" xfId="0" applyNumberFormat="1" applyFont="1" applyBorder="1"/>
    <xf numFmtId="164" fontId="4" fillId="0" borderId="4" xfId="0" applyNumberFormat="1" applyFont="1" applyBorder="1"/>
    <xf numFmtId="0" fontId="4" fillId="0" borderId="2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10" xfId="0" applyFont="1" applyBorder="1"/>
    <xf numFmtId="0" fontId="4" fillId="0" borderId="9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3" fillId="0" borderId="14" xfId="0" applyFont="1" applyBorder="1"/>
    <xf numFmtId="0" fontId="0" fillId="0" borderId="14" xfId="0" applyBorder="1"/>
    <xf numFmtId="0" fontId="2" fillId="0" borderId="14" xfId="0" applyFont="1" applyBorder="1"/>
    <xf numFmtId="0" fontId="0" fillId="0" borderId="0" xfId="0" applyAlignment="1">
      <alignment horizontal="center"/>
    </xf>
    <xf numFmtId="0" fontId="3" fillId="0" borderId="0" xfId="0" applyFont="1"/>
    <xf numFmtId="2" fontId="0" fillId="0" borderId="0" xfId="0" applyNumberFormat="1"/>
    <xf numFmtId="0" fontId="4" fillId="0" borderId="1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</cellXfs>
  <cellStyles count="1">
    <cellStyle name="Standard" xfId="0" builtinId="0"/>
  </cellStyles>
  <dxfs count="2">
    <dxf>
      <font>
        <color theme="0" tint="-0.24994659260841701"/>
      </font>
    </dxf>
    <dxf>
      <font>
        <color theme="0" tint="-0.34998626667073579"/>
      </font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"/>
  <sheetViews>
    <sheetView tabSelected="1" topLeftCell="A27" zoomScaleNormal="100" workbookViewId="0">
      <selection activeCell="A11" sqref="A11"/>
    </sheetView>
  </sheetViews>
  <sheetFormatPr baseColWidth="10" defaultColWidth="8.7265625" defaultRowHeight="14.5" x14ac:dyDescent="0.35"/>
  <cols>
    <col min="1" max="1" width="23.81640625" customWidth="1"/>
    <col min="2" max="2" width="9.1796875" style="2"/>
    <col min="11" max="12" width="9.1796875"/>
    <col min="14" max="14" width="14.81640625" customWidth="1"/>
    <col min="17" max="17" width="13.26953125" customWidth="1"/>
    <col min="26" max="26" width="9.1796875"/>
  </cols>
  <sheetData>
    <row r="1" spans="1:27" x14ac:dyDescent="0.35">
      <c r="A1" s="3"/>
      <c r="B1" s="42" t="s">
        <v>48</v>
      </c>
      <c r="C1" s="43"/>
      <c r="D1" s="43"/>
      <c r="E1" s="43"/>
      <c r="F1" s="43"/>
      <c r="G1" s="43"/>
      <c r="H1" s="43"/>
      <c r="I1" s="43"/>
      <c r="J1" s="43"/>
      <c r="K1" s="43"/>
      <c r="L1" s="44"/>
      <c r="M1" s="45" t="s">
        <v>49</v>
      </c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3"/>
      <c r="Z1" s="3"/>
      <c r="AA1" s="3"/>
    </row>
    <row r="2" spans="1:27" x14ac:dyDescent="0.35">
      <c r="A2" s="49" t="s">
        <v>4</v>
      </c>
      <c r="B2" s="47" t="s">
        <v>41</v>
      </c>
      <c r="C2" s="50" t="s">
        <v>0</v>
      </c>
      <c r="D2" s="50"/>
      <c r="E2" s="50" t="s">
        <v>1</v>
      </c>
      <c r="F2" s="50"/>
      <c r="G2" s="50" t="s">
        <v>2</v>
      </c>
      <c r="H2" s="50"/>
      <c r="I2" s="50" t="s">
        <v>3</v>
      </c>
      <c r="J2" s="51"/>
      <c r="K2" s="47" t="s">
        <v>44</v>
      </c>
      <c r="L2" s="37" t="s">
        <v>38</v>
      </c>
      <c r="M2" s="39" t="s">
        <v>39</v>
      </c>
      <c r="N2" s="40"/>
      <c r="O2" s="41"/>
      <c r="P2" s="39" t="s">
        <v>45</v>
      </c>
      <c r="Q2" s="40"/>
      <c r="R2" s="41"/>
      <c r="S2" s="39" t="s">
        <v>46</v>
      </c>
      <c r="T2" s="40"/>
      <c r="U2" s="41"/>
      <c r="V2" s="39" t="s">
        <v>47</v>
      </c>
      <c r="W2" s="40"/>
      <c r="X2" s="41"/>
      <c r="Y2" s="35" t="s">
        <v>54</v>
      </c>
      <c r="Z2" s="22"/>
      <c r="AA2" s="37" t="s">
        <v>50</v>
      </c>
    </row>
    <row r="3" spans="1:27" ht="60.5" x14ac:dyDescent="0.35">
      <c r="A3" s="38"/>
      <c r="B3" s="48"/>
      <c r="C3" s="4" t="s">
        <v>5</v>
      </c>
      <c r="D3" s="4" t="s">
        <v>6</v>
      </c>
      <c r="E3" s="4" t="s">
        <v>5</v>
      </c>
      <c r="F3" s="4" t="s">
        <v>7</v>
      </c>
      <c r="G3" s="4" t="s">
        <v>5</v>
      </c>
      <c r="H3" s="4" t="s">
        <v>7</v>
      </c>
      <c r="I3" s="4" t="s">
        <v>5</v>
      </c>
      <c r="J3" s="5" t="s">
        <v>7</v>
      </c>
      <c r="K3" s="48"/>
      <c r="L3" s="38"/>
      <c r="M3" s="6" t="s">
        <v>40</v>
      </c>
      <c r="N3" s="4" t="s">
        <v>51</v>
      </c>
      <c r="O3" s="5" t="s">
        <v>42</v>
      </c>
      <c r="P3" s="6" t="s">
        <v>43</v>
      </c>
      <c r="Q3" s="4" t="s">
        <v>51</v>
      </c>
      <c r="R3" s="5" t="s">
        <v>42</v>
      </c>
      <c r="S3" s="6" t="s">
        <v>43</v>
      </c>
      <c r="T3" s="4" t="s">
        <v>51</v>
      </c>
      <c r="U3" s="5" t="s">
        <v>42</v>
      </c>
      <c r="V3" s="6" t="s">
        <v>43</v>
      </c>
      <c r="W3" s="4" t="s">
        <v>51</v>
      </c>
      <c r="X3" s="5" t="s">
        <v>42</v>
      </c>
      <c r="Y3" s="36"/>
      <c r="Z3" s="23" t="s">
        <v>55</v>
      </c>
      <c r="AA3" s="38"/>
    </row>
    <row r="4" spans="1:27" x14ac:dyDescent="0.35">
      <c r="A4" s="3" t="s">
        <v>11</v>
      </c>
      <c r="B4" s="24">
        <v>0.95669999999999999</v>
      </c>
      <c r="C4" s="7">
        <v>1.4545454545454546</v>
      </c>
      <c r="D4" s="7">
        <v>0.33359201999999999</v>
      </c>
      <c r="E4" s="7">
        <v>2.6666666666666665</v>
      </c>
      <c r="F4" s="7">
        <v>0.22239468000000001</v>
      </c>
      <c r="G4" s="7"/>
      <c r="H4" s="7"/>
      <c r="I4" s="7"/>
      <c r="J4" s="8"/>
      <c r="K4" s="9">
        <v>1.0782772363636364</v>
      </c>
      <c r="L4" s="8">
        <v>1.5</v>
      </c>
      <c r="M4" s="10">
        <f>3*6*3</f>
        <v>54</v>
      </c>
      <c r="N4" s="7">
        <f>(C4*D4/54)/B4</f>
        <v>9.3923315944012091E-3</v>
      </c>
      <c r="O4" s="8">
        <f>N4*28.3495</f>
        <v>0.26626790453547705</v>
      </c>
      <c r="P4" s="14">
        <f>2*6*3</f>
        <v>36</v>
      </c>
      <c r="Q4" s="7">
        <f>(E4*F4/P4)/B4</f>
        <v>1.7219274589735552E-2</v>
      </c>
      <c r="R4" s="12">
        <f>Q4*28.3495</f>
        <v>0.48815782498170801</v>
      </c>
      <c r="S4" s="10">
        <f>2*6*3</f>
        <v>36</v>
      </c>
      <c r="T4" s="7">
        <f>(G4*H4/S4)/B4</f>
        <v>0</v>
      </c>
      <c r="U4" s="12">
        <f>T4*28.3495</f>
        <v>0</v>
      </c>
      <c r="V4" s="10">
        <f>2*6*3</f>
        <v>36</v>
      </c>
      <c r="W4" s="7">
        <f>(I4*J4/V4)/B4</f>
        <v>0</v>
      </c>
      <c r="X4" s="12">
        <f>W4*28.3495</f>
        <v>0</v>
      </c>
      <c r="Y4" s="13">
        <f>N4*M4+Q4*P4+T4*S4+W4*V4</f>
        <v>1.1270797913281452</v>
      </c>
      <c r="Z4" s="11">
        <f>Y4*B4</f>
        <v>1.0782772363636366</v>
      </c>
      <c r="AA4" s="12">
        <f>L4-Z4</f>
        <v>0.42172276363636341</v>
      </c>
    </row>
    <row r="5" spans="1:27" x14ac:dyDescent="0.35">
      <c r="A5" s="3" t="s">
        <v>12</v>
      </c>
      <c r="B5" s="24">
        <v>0.96719999999999995</v>
      </c>
      <c r="C5" s="7">
        <v>1.4545454545454546</v>
      </c>
      <c r="D5" s="7">
        <v>0.33359201999999999</v>
      </c>
      <c r="E5" s="7">
        <v>2.6666666666666665</v>
      </c>
      <c r="F5" s="7">
        <v>0.22239468000000001</v>
      </c>
      <c r="G5" s="7"/>
      <c r="H5" s="7"/>
      <c r="I5" s="7"/>
      <c r="J5" s="8"/>
      <c r="K5" s="9">
        <v>1.0782772363636364</v>
      </c>
      <c r="L5" s="8">
        <v>1.5</v>
      </c>
      <c r="M5" s="14">
        <f t="shared" ref="M5:M36" si="0">3*6*3</f>
        <v>54</v>
      </c>
      <c r="N5" s="7">
        <f t="shared" ref="N5:N36" si="1">(C5*D5/54)/B5</f>
        <v>9.2903676968193113E-3</v>
      </c>
      <c r="O5" s="8">
        <f t="shared" ref="O5:O36" si="2">N5*28.3495</f>
        <v>0.26337727902097907</v>
      </c>
      <c r="P5" s="14">
        <f t="shared" ref="P5:P36" si="3">2*6*3</f>
        <v>36</v>
      </c>
      <c r="Q5" s="7">
        <f t="shared" ref="Q5:Q36" si="4">(E5*F5/P5)/B5</f>
        <v>1.703234077750207E-2</v>
      </c>
      <c r="R5" s="8">
        <f t="shared" ref="R5:R36" si="5">Q5*28.3495</f>
        <v>0.48285834487179491</v>
      </c>
      <c r="S5" s="14">
        <f t="shared" ref="S5:S36" si="6">2*6*3</f>
        <v>36</v>
      </c>
      <c r="T5" s="7">
        <f t="shared" ref="T5:T36" si="7">(G5*H5/S5)/B5</f>
        <v>0</v>
      </c>
      <c r="U5" s="8">
        <f t="shared" ref="U5:U36" si="8">T5*28.3495</f>
        <v>0</v>
      </c>
      <c r="V5" s="14">
        <f t="shared" ref="V5:V36" si="9">2*6*3</f>
        <v>36</v>
      </c>
      <c r="W5" s="7">
        <f t="shared" ref="W5:W36" si="10">(I5*J5/V5)/B5</f>
        <v>0</v>
      </c>
      <c r="X5" s="8">
        <f t="shared" ref="X5:X36" si="11">W5*28.3495</f>
        <v>0</v>
      </c>
      <c r="Y5" s="15">
        <f t="shared" ref="Y5:Y36" si="12">N5*M5+Q5*P5+T5*S5+W5*V5</f>
        <v>1.1148441236183173</v>
      </c>
      <c r="Z5" s="7">
        <f t="shared" ref="Z5:Z36" si="13">Y5*B5</f>
        <v>1.0782772363636364</v>
      </c>
      <c r="AA5" s="8">
        <f t="shared" ref="AA5:AA36" si="14">L5-Z5</f>
        <v>0.42172276363636363</v>
      </c>
    </row>
    <row r="6" spans="1:27" x14ac:dyDescent="0.35">
      <c r="A6" s="3" t="s">
        <v>33</v>
      </c>
      <c r="B6" s="24">
        <v>0.84989999999999999</v>
      </c>
      <c r="C6" s="7">
        <v>1.4545454545454546</v>
      </c>
      <c r="D6" s="7">
        <v>0.33359201999999999</v>
      </c>
      <c r="E6" s="7"/>
      <c r="F6" s="7"/>
      <c r="G6" s="7"/>
      <c r="H6" s="7"/>
      <c r="I6" s="7"/>
      <c r="J6" s="8"/>
      <c r="K6" s="9">
        <v>0.48522475636363638</v>
      </c>
      <c r="L6" s="8">
        <v>0.75</v>
      </c>
      <c r="M6" s="14">
        <f t="shared" si="0"/>
        <v>54</v>
      </c>
      <c r="N6" s="7">
        <f t="shared" si="1"/>
        <v>1.0572589288579405E-2</v>
      </c>
      <c r="O6" s="8">
        <f t="shared" si="2"/>
        <v>0.29972762003658182</v>
      </c>
      <c r="P6" s="14">
        <f t="shared" si="3"/>
        <v>36</v>
      </c>
      <c r="Q6" s="7">
        <f t="shared" si="4"/>
        <v>0</v>
      </c>
      <c r="R6" s="8">
        <f t="shared" si="5"/>
        <v>0</v>
      </c>
      <c r="S6" s="14">
        <f t="shared" si="6"/>
        <v>36</v>
      </c>
      <c r="T6" s="7">
        <f t="shared" si="7"/>
        <v>0</v>
      </c>
      <c r="U6" s="8">
        <f t="shared" si="8"/>
        <v>0</v>
      </c>
      <c r="V6" s="14">
        <f t="shared" si="9"/>
        <v>36</v>
      </c>
      <c r="W6" s="7">
        <f t="shared" si="10"/>
        <v>0</v>
      </c>
      <c r="X6" s="8">
        <f t="shared" si="11"/>
        <v>0</v>
      </c>
      <c r="Y6" s="15">
        <f t="shared" si="12"/>
        <v>0.57091982158328791</v>
      </c>
      <c r="Z6" s="7">
        <f t="shared" si="13"/>
        <v>0.48522475636363638</v>
      </c>
      <c r="AA6" s="8">
        <f t="shared" si="14"/>
        <v>0.26477524363636362</v>
      </c>
    </row>
    <row r="7" spans="1:27" x14ac:dyDescent="0.35">
      <c r="A7" s="3" t="s">
        <v>34</v>
      </c>
      <c r="B7" s="24">
        <v>0.88690000000000002</v>
      </c>
      <c r="C7" s="7">
        <v>1.4545454545454546</v>
      </c>
      <c r="D7" s="7">
        <v>0.33359201999999999</v>
      </c>
      <c r="E7" s="7"/>
      <c r="F7" s="7"/>
      <c r="G7" s="7"/>
      <c r="H7" s="7"/>
      <c r="I7" s="7"/>
      <c r="J7" s="8"/>
      <c r="K7" s="9">
        <v>0.48522475636363638</v>
      </c>
      <c r="L7" s="8">
        <v>0.75</v>
      </c>
      <c r="M7" s="14">
        <f t="shared" si="0"/>
        <v>54</v>
      </c>
      <c r="N7" s="7">
        <f t="shared" si="1"/>
        <v>1.0131518363246855E-2</v>
      </c>
      <c r="O7" s="8">
        <f t="shared" si="2"/>
        <v>0.2872234798388667</v>
      </c>
      <c r="P7" s="14">
        <f t="shared" si="3"/>
        <v>36</v>
      </c>
      <c r="Q7" s="7">
        <f t="shared" si="4"/>
        <v>0</v>
      </c>
      <c r="R7" s="8">
        <f t="shared" si="5"/>
        <v>0</v>
      </c>
      <c r="S7" s="14">
        <f t="shared" si="6"/>
        <v>36</v>
      </c>
      <c r="T7" s="7">
        <f t="shared" si="7"/>
        <v>0</v>
      </c>
      <c r="U7" s="8">
        <f t="shared" si="8"/>
        <v>0</v>
      </c>
      <c r="V7" s="14">
        <f t="shared" si="9"/>
        <v>36</v>
      </c>
      <c r="W7" s="7">
        <f t="shared" si="10"/>
        <v>0</v>
      </c>
      <c r="X7" s="8">
        <f t="shared" si="11"/>
        <v>0</v>
      </c>
      <c r="Y7" s="15">
        <f t="shared" si="12"/>
        <v>0.54710199161533013</v>
      </c>
      <c r="Z7" s="7">
        <f t="shared" si="13"/>
        <v>0.48522475636363632</v>
      </c>
      <c r="AA7" s="8">
        <f t="shared" si="14"/>
        <v>0.26477524363636368</v>
      </c>
    </row>
    <row r="8" spans="1:27" x14ac:dyDescent="0.35">
      <c r="A8" s="3" t="s">
        <v>32</v>
      </c>
      <c r="B8" s="24">
        <v>0.5282</v>
      </c>
      <c r="C8" s="7">
        <v>1.4545454545454546</v>
      </c>
      <c r="D8" s="7">
        <v>0.33359201999999999</v>
      </c>
      <c r="E8" s="7"/>
      <c r="F8" s="7"/>
      <c r="G8" s="7"/>
      <c r="H8" s="7"/>
      <c r="I8" s="7"/>
      <c r="J8" s="8"/>
      <c r="K8" s="9">
        <v>0.48522475636363638</v>
      </c>
      <c r="L8" s="8">
        <v>0.75</v>
      </c>
      <c r="M8" s="14">
        <f t="shared" si="0"/>
        <v>54</v>
      </c>
      <c r="N8" s="7">
        <f t="shared" si="1"/>
        <v>1.7011820591373791E-2</v>
      </c>
      <c r="O8" s="8">
        <f t="shared" si="2"/>
        <v>0.48227660785515125</v>
      </c>
      <c r="P8" s="14">
        <f t="shared" si="3"/>
        <v>36</v>
      </c>
      <c r="Q8" s="7">
        <f t="shared" si="4"/>
        <v>0</v>
      </c>
      <c r="R8" s="8">
        <f t="shared" si="5"/>
        <v>0</v>
      </c>
      <c r="S8" s="14">
        <f t="shared" si="6"/>
        <v>36</v>
      </c>
      <c r="T8" s="7">
        <f t="shared" si="7"/>
        <v>0</v>
      </c>
      <c r="U8" s="8">
        <f t="shared" si="8"/>
        <v>0</v>
      </c>
      <c r="V8" s="14">
        <f t="shared" si="9"/>
        <v>36</v>
      </c>
      <c r="W8" s="7">
        <f t="shared" si="10"/>
        <v>0</v>
      </c>
      <c r="X8" s="8">
        <f t="shared" si="11"/>
        <v>0</v>
      </c>
      <c r="Y8" s="15">
        <f t="shared" si="12"/>
        <v>0.91863831193418466</v>
      </c>
      <c r="Z8" s="7">
        <f t="shared" si="13"/>
        <v>0.48522475636363632</v>
      </c>
      <c r="AA8" s="8">
        <f t="shared" si="14"/>
        <v>0.26477524363636368</v>
      </c>
    </row>
    <row r="9" spans="1:27" x14ac:dyDescent="0.35">
      <c r="A9" s="3" t="s">
        <v>27</v>
      </c>
      <c r="B9" s="24">
        <v>0.79410000000000003</v>
      </c>
      <c r="C9" s="7">
        <v>1.4545454545454546</v>
      </c>
      <c r="D9" s="7">
        <v>0.33359201999999999</v>
      </c>
      <c r="E9" s="7">
        <v>2.6666666666666665</v>
      </c>
      <c r="F9" s="7">
        <v>0.22239468000000001</v>
      </c>
      <c r="G9" s="7">
        <v>4</v>
      </c>
      <c r="H9" s="7">
        <v>0.22239468000000001</v>
      </c>
      <c r="I9" s="7">
        <v>8</v>
      </c>
      <c r="J9" s="8">
        <v>0.22239468000000001</v>
      </c>
      <c r="K9" s="9">
        <v>3.7470133963636365</v>
      </c>
      <c r="L9" s="8">
        <v>4.75</v>
      </c>
      <c r="M9" s="14">
        <f t="shared" si="0"/>
        <v>54</v>
      </c>
      <c r="N9" s="7">
        <f t="shared" si="1"/>
        <v>1.1315506405192842E-2</v>
      </c>
      <c r="O9" s="8">
        <f t="shared" si="2"/>
        <v>0.32078894883401449</v>
      </c>
      <c r="P9" s="14">
        <f t="shared" si="3"/>
        <v>36</v>
      </c>
      <c r="Q9" s="7">
        <f t="shared" si="4"/>
        <v>2.0745095076186878E-2</v>
      </c>
      <c r="R9" s="8">
        <f t="shared" si="5"/>
        <v>0.58811307286235992</v>
      </c>
      <c r="S9" s="14">
        <f t="shared" si="6"/>
        <v>36</v>
      </c>
      <c r="T9" s="7">
        <f t="shared" si="7"/>
        <v>3.1117642614280315E-2</v>
      </c>
      <c r="U9" s="8">
        <f t="shared" si="8"/>
        <v>0.88216960929353971</v>
      </c>
      <c r="V9" s="14">
        <f t="shared" si="9"/>
        <v>36</v>
      </c>
      <c r="W9" s="7">
        <f t="shared" si="10"/>
        <v>6.223528522856063E-2</v>
      </c>
      <c r="X9" s="8">
        <f t="shared" si="11"/>
        <v>1.7643392185870794</v>
      </c>
      <c r="Y9" s="15">
        <f t="shared" si="12"/>
        <v>4.7185661709654152</v>
      </c>
      <c r="Z9" s="7">
        <f t="shared" si="13"/>
        <v>3.7470133963636365</v>
      </c>
      <c r="AA9" s="8">
        <f t="shared" si="14"/>
        <v>1.0029866036363635</v>
      </c>
    </row>
    <row r="10" spans="1:27" x14ac:dyDescent="0.35">
      <c r="A10" s="3" t="s">
        <v>13</v>
      </c>
      <c r="B10" s="24">
        <v>0.97870000000000001</v>
      </c>
      <c r="C10" s="7">
        <v>1.4545454545454546</v>
      </c>
      <c r="D10" s="7">
        <v>0.33359201999999999</v>
      </c>
      <c r="E10" s="7"/>
      <c r="F10" s="7"/>
      <c r="G10" s="7"/>
      <c r="H10" s="7"/>
      <c r="I10" s="7"/>
      <c r="J10" s="8"/>
      <c r="K10" s="9">
        <v>0.48522475636363638</v>
      </c>
      <c r="L10" s="8">
        <v>1</v>
      </c>
      <c r="M10" s="14">
        <f t="shared" si="0"/>
        <v>54</v>
      </c>
      <c r="N10" s="7">
        <f t="shared" si="1"/>
        <v>9.1812032659279019E-3</v>
      </c>
      <c r="O10" s="8">
        <f t="shared" si="2"/>
        <v>0.26028252198742302</v>
      </c>
      <c r="P10" s="14">
        <f t="shared" si="3"/>
        <v>36</v>
      </c>
      <c r="Q10" s="7">
        <f t="shared" si="4"/>
        <v>0</v>
      </c>
      <c r="R10" s="8">
        <f t="shared" si="5"/>
        <v>0</v>
      </c>
      <c r="S10" s="14">
        <f t="shared" si="6"/>
        <v>36</v>
      </c>
      <c r="T10" s="7">
        <f t="shared" si="7"/>
        <v>0</v>
      </c>
      <c r="U10" s="8">
        <f t="shared" si="8"/>
        <v>0</v>
      </c>
      <c r="V10" s="14">
        <f t="shared" si="9"/>
        <v>36</v>
      </c>
      <c r="W10" s="7">
        <f t="shared" si="10"/>
        <v>0</v>
      </c>
      <c r="X10" s="8">
        <f t="shared" si="11"/>
        <v>0</v>
      </c>
      <c r="Y10" s="15">
        <f t="shared" si="12"/>
        <v>0.49578497636010671</v>
      </c>
      <c r="Z10" s="7">
        <f t="shared" si="13"/>
        <v>0.48522475636363643</v>
      </c>
      <c r="AA10" s="8">
        <f t="shared" si="14"/>
        <v>0.51477524363636351</v>
      </c>
    </row>
    <row r="11" spans="1:27" x14ac:dyDescent="0.35">
      <c r="A11" s="3" t="s">
        <v>21</v>
      </c>
      <c r="B11" s="24">
        <v>0.93859999999999999</v>
      </c>
      <c r="C11" s="7">
        <v>1.4545454545454546</v>
      </c>
      <c r="D11" s="7">
        <v>0.33359201999999999</v>
      </c>
      <c r="E11" s="7">
        <v>2.6666666666666665</v>
      </c>
      <c r="F11" s="7">
        <v>0.22239468000000001</v>
      </c>
      <c r="G11" s="7"/>
      <c r="H11" s="7"/>
      <c r="I11" s="7"/>
      <c r="J11" s="8"/>
      <c r="K11" s="9">
        <v>1.0782772363636364</v>
      </c>
      <c r="L11" s="8">
        <v>4.75</v>
      </c>
      <c r="M11" s="14">
        <f t="shared" si="0"/>
        <v>54</v>
      </c>
      <c r="N11" s="7">
        <f t="shared" si="1"/>
        <v>9.5734536931212835E-3</v>
      </c>
      <c r="O11" s="8">
        <f t="shared" si="2"/>
        <v>0.27140262547314181</v>
      </c>
      <c r="P11" s="14">
        <f t="shared" si="3"/>
        <v>36</v>
      </c>
      <c r="Q11" s="7">
        <f t="shared" si="4"/>
        <v>1.7551331770722354E-2</v>
      </c>
      <c r="R11" s="8">
        <f t="shared" si="5"/>
        <v>0.49757148003409335</v>
      </c>
      <c r="S11" s="14">
        <f t="shared" si="6"/>
        <v>36</v>
      </c>
      <c r="T11" s="7">
        <f t="shared" si="7"/>
        <v>0</v>
      </c>
      <c r="U11" s="8">
        <f t="shared" si="8"/>
        <v>0</v>
      </c>
      <c r="V11" s="14">
        <f t="shared" si="9"/>
        <v>36</v>
      </c>
      <c r="W11" s="7">
        <f t="shared" si="10"/>
        <v>0</v>
      </c>
      <c r="X11" s="8">
        <f t="shared" si="11"/>
        <v>0</v>
      </c>
      <c r="Y11" s="15">
        <f t="shared" si="12"/>
        <v>1.1488144431745542</v>
      </c>
      <c r="Z11" s="7">
        <f t="shared" si="13"/>
        <v>1.0782772363636366</v>
      </c>
      <c r="AA11" s="8">
        <f t="shared" si="14"/>
        <v>3.6717227636363634</v>
      </c>
    </row>
    <row r="12" spans="1:27" x14ac:dyDescent="0.35">
      <c r="A12" s="3" t="s">
        <v>56</v>
      </c>
      <c r="B12" s="24">
        <v>0.94289999999999996</v>
      </c>
      <c r="C12" s="7">
        <v>1.4545454545454546</v>
      </c>
      <c r="D12" s="7">
        <v>0.33359201999999999</v>
      </c>
      <c r="E12" s="7">
        <v>2.6666666666666665</v>
      </c>
      <c r="F12" s="7">
        <v>0.22239468000000001</v>
      </c>
      <c r="G12" s="7">
        <v>4</v>
      </c>
      <c r="H12" s="7">
        <v>0.22239468000000001</v>
      </c>
      <c r="I12" s="7">
        <v>8</v>
      </c>
      <c r="J12" s="8">
        <v>0.22239468000000001</v>
      </c>
      <c r="K12" s="9">
        <v>3.7470133963636365</v>
      </c>
      <c r="L12" s="8">
        <v>4.75</v>
      </c>
      <c r="M12" s="14">
        <f t="shared" si="0"/>
        <v>54</v>
      </c>
      <c r="N12" s="7">
        <f t="shared" si="1"/>
        <v>9.5297949266768874E-3</v>
      </c>
      <c r="O12" s="8">
        <f t="shared" si="2"/>
        <v>0.27016492127382641</v>
      </c>
      <c r="P12" s="14">
        <f t="shared" si="3"/>
        <v>36</v>
      </c>
      <c r="Q12" s="7">
        <f t="shared" si="4"/>
        <v>1.7471290698907627E-2</v>
      </c>
      <c r="R12" s="8">
        <f t="shared" si="5"/>
        <v>0.49530235566868175</v>
      </c>
      <c r="S12" s="14">
        <f t="shared" si="6"/>
        <v>36</v>
      </c>
      <c r="T12" s="7">
        <f t="shared" si="7"/>
        <v>2.620693604836144E-2</v>
      </c>
      <c r="U12" s="8">
        <f t="shared" si="8"/>
        <v>0.74295353350302262</v>
      </c>
      <c r="V12" s="14">
        <f t="shared" si="9"/>
        <v>36</v>
      </c>
      <c r="W12" s="7">
        <f t="shared" si="10"/>
        <v>5.241387209672288E-2</v>
      </c>
      <c r="X12" s="8">
        <f t="shared" si="11"/>
        <v>1.4859070670060452</v>
      </c>
      <c r="Y12" s="15">
        <f t="shared" si="12"/>
        <v>3.9739244844242618</v>
      </c>
      <c r="Z12" s="7">
        <f t="shared" si="13"/>
        <v>3.7470133963636365</v>
      </c>
      <c r="AA12" s="8">
        <f t="shared" si="14"/>
        <v>1.0029866036363635</v>
      </c>
    </row>
    <row r="13" spans="1:27" x14ac:dyDescent="0.35">
      <c r="A13" s="3" t="s">
        <v>25</v>
      </c>
      <c r="B13" s="24">
        <v>0.9264</v>
      </c>
      <c r="C13" s="7">
        <v>1.4545454545454546</v>
      </c>
      <c r="D13" s="7">
        <v>0.33359201999999999</v>
      </c>
      <c r="E13" s="7"/>
      <c r="F13" s="7"/>
      <c r="G13" s="7"/>
      <c r="H13" s="7"/>
      <c r="I13" s="7"/>
      <c r="J13" s="8"/>
      <c r="K13" s="9">
        <v>0.48522475636363638</v>
      </c>
      <c r="L13" s="8">
        <v>0.75</v>
      </c>
      <c r="M13" s="14">
        <f t="shared" si="0"/>
        <v>54</v>
      </c>
      <c r="N13" s="7">
        <f t="shared" si="1"/>
        <v>9.6995289684408854E-3</v>
      </c>
      <c r="O13" s="8">
        <f t="shared" si="2"/>
        <v>0.27497679649081486</v>
      </c>
      <c r="P13" s="14">
        <f t="shared" si="3"/>
        <v>36</v>
      </c>
      <c r="Q13" s="7">
        <f t="shared" si="4"/>
        <v>0</v>
      </c>
      <c r="R13" s="8">
        <f t="shared" si="5"/>
        <v>0</v>
      </c>
      <c r="S13" s="14">
        <f t="shared" si="6"/>
        <v>36</v>
      </c>
      <c r="T13" s="7">
        <f t="shared" si="7"/>
        <v>0</v>
      </c>
      <c r="U13" s="8">
        <f t="shared" si="8"/>
        <v>0</v>
      </c>
      <c r="V13" s="14">
        <f t="shared" si="9"/>
        <v>36</v>
      </c>
      <c r="W13" s="7">
        <f t="shared" si="10"/>
        <v>0</v>
      </c>
      <c r="X13" s="8">
        <f t="shared" si="11"/>
        <v>0</v>
      </c>
      <c r="Y13" s="15">
        <f t="shared" si="12"/>
        <v>0.52377456429580782</v>
      </c>
      <c r="Z13" s="7">
        <f t="shared" si="13"/>
        <v>0.48522475636363638</v>
      </c>
      <c r="AA13" s="8">
        <f t="shared" si="14"/>
        <v>0.26477524363636362</v>
      </c>
    </row>
    <row r="14" spans="1:27" x14ac:dyDescent="0.35">
      <c r="A14" s="3" t="s">
        <v>8</v>
      </c>
      <c r="B14" s="24">
        <v>0.94230000000000003</v>
      </c>
      <c r="C14" s="7">
        <v>1.4545454545454546</v>
      </c>
      <c r="D14" s="7">
        <v>0.33359201999999999</v>
      </c>
      <c r="E14" s="7">
        <v>2.6666666666666665</v>
      </c>
      <c r="F14" s="7">
        <v>0.22239468000000001</v>
      </c>
      <c r="G14" s="7">
        <v>4</v>
      </c>
      <c r="H14" s="7">
        <v>0.22239468000000001</v>
      </c>
      <c r="I14" s="7">
        <v>8</v>
      </c>
      <c r="J14" s="8">
        <v>0.22239468000000001</v>
      </c>
      <c r="K14" s="9">
        <v>3.7470133963636365</v>
      </c>
      <c r="L14" s="8">
        <v>4.75</v>
      </c>
      <c r="M14" s="14">
        <f t="shared" si="0"/>
        <v>54</v>
      </c>
      <c r="N14" s="7">
        <f t="shared" si="1"/>
        <v>9.5358629272669394E-3</v>
      </c>
      <c r="O14" s="8">
        <f t="shared" si="2"/>
        <v>0.27033694605655412</v>
      </c>
      <c r="P14" s="14">
        <f t="shared" si="3"/>
        <v>36</v>
      </c>
      <c r="Q14" s="7">
        <f t="shared" si="4"/>
        <v>1.7482415366656054E-2</v>
      </c>
      <c r="R14" s="8">
        <f t="shared" si="5"/>
        <v>0.49561773443701579</v>
      </c>
      <c r="S14" s="14">
        <f t="shared" si="6"/>
        <v>36</v>
      </c>
      <c r="T14" s="7">
        <f t="shared" si="7"/>
        <v>2.6223623049984081E-2</v>
      </c>
      <c r="U14" s="8">
        <f t="shared" si="8"/>
        <v>0.74342660165552366</v>
      </c>
      <c r="V14" s="14">
        <f t="shared" si="9"/>
        <v>36</v>
      </c>
      <c r="W14" s="7">
        <f t="shared" si="10"/>
        <v>5.2447246099968162E-2</v>
      </c>
      <c r="X14" s="8">
        <f t="shared" si="11"/>
        <v>1.4868532033110473</v>
      </c>
      <c r="Y14" s="15">
        <f t="shared" si="12"/>
        <v>3.9764548406703133</v>
      </c>
      <c r="Z14" s="7">
        <f t="shared" si="13"/>
        <v>3.7470133963636365</v>
      </c>
      <c r="AA14" s="8">
        <f t="shared" si="14"/>
        <v>1.0029866036363635</v>
      </c>
    </row>
    <row r="15" spans="1:27" x14ac:dyDescent="0.35">
      <c r="A15" s="3" t="s">
        <v>28</v>
      </c>
      <c r="B15" s="24">
        <v>0.65310000000000001</v>
      </c>
      <c r="C15" s="7">
        <v>1.4545454545454546</v>
      </c>
      <c r="D15" s="7">
        <v>0.33359201999999999</v>
      </c>
      <c r="E15" s="7">
        <v>2.6666666666666665</v>
      </c>
      <c r="F15" s="7">
        <v>0.22239468000000001</v>
      </c>
      <c r="G15" s="7">
        <v>4</v>
      </c>
      <c r="H15" s="7">
        <v>0.22239468000000001</v>
      </c>
      <c r="I15" s="7">
        <v>8</v>
      </c>
      <c r="J15" s="8">
        <v>0.22239468000000001</v>
      </c>
      <c r="K15" s="9">
        <v>3.7470133963636365</v>
      </c>
      <c r="L15" s="8">
        <v>4.75</v>
      </c>
      <c r="M15" s="14">
        <f t="shared" si="0"/>
        <v>54</v>
      </c>
      <c r="N15" s="7">
        <f t="shared" si="1"/>
        <v>1.37584499102184E-2</v>
      </c>
      <c r="O15" s="8">
        <f t="shared" si="2"/>
        <v>0.39004517572973652</v>
      </c>
      <c r="P15" s="14">
        <f t="shared" si="3"/>
        <v>36</v>
      </c>
      <c r="Q15" s="7">
        <f t="shared" si="4"/>
        <v>2.52238248354004E-2</v>
      </c>
      <c r="R15" s="8">
        <f t="shared" si="5"/>
        <v>0.71508282217118357</v>
      </c>
      <c r="S15" s="14">
        <f t="shared" si="6"/>
        <v>36</v>
      </c>
      <c r="T15" s="7">
        <f t="shared" si="7"/>
        <v>3.7835737253100597E-2</v>
      </c>
      <c r="U15" s="8">
        <f t="shared" si="8"/>
        <v>1.0726242332567753</v>
      </c>
      <c r="V15" s="14">
        <f t="shared" si="9"/>
        <v>36</v>
      </c>
      <c r="W15" s="7">
        <f t="shared" si="10"/>
        <v>7.5671474506201195E-2</v>
      </c>
      <c r="X15" s="8">
        <f t="shared" si="11"/>
        <v>2.1452484665135505</v>
      </c>
      <c r="Y15" s="15">
        <f t="shared" si="12"/>
        <v>5.7372736125610722</v>
      </c>
      <c r="Z15" s="7">
        <f t="shared" si="13"/>
        <v>3.7470133963636365</v>
      </c>
      <c r="AA15" s="8">
        <f t="shared" si="14"/>
        <v>1.0029866036363635</v>
      </c>
    </row>
    <row r="16" spans="1:27" x14ac:dyDescent="0.35">
      <c r="A16" s="3" t="s">
        <v>35</v>
      </c>
      <c r="B16" s="24">
        <v>0.92920000000000003</v>
      </c>
      <c r="C16" s="7">
        <v>1.4545454545454546</v>
      </c>
      <c r="D16" s="7">
        <v>0.33359201999999999</v>
      </c>
      <c r="E16" s="7"/>
      <c r="F16" s="7"/>
      <c r="G16" s="7"/>
      <c r="H16" s="7"/>
      <c r="I16" s="7"/>
      <c r="J16" s="8"/>
      <c r="K16" s="9">
        <v>0.48522475636363638</v>
      </c>
      <c r="L16" s="8">
        <v>0.75</v>
      </c>
      <c r="M16" s="14">
        <f t="shared" si="0"/>
        <v>54</v>
      </c>
      <c r="N16" s="7">
        <f t="shared" si="1"/>
        <v>9.6703009431377916E-3</v>
      </c>
      <c r="O16" s="8">
        <f t="shared" si="2"/>
        <v>0.27414819658748479</v>
      </c>
      <c r="P16" s="14">
        <f t="shared" si="3"/>
        <v>36</v>
      </c>
      <c r="Q16" s="7">
        <f t="shared" si="4"/>
        <v>0</v>
      </c>
      <c r="R16" s="8">
        <f t="shared" si="5"/>
        <v>0</v>
      </c>
      <c r="S16" s="14">
        <f t="shared" si="6"/>
        <v>36</v>
      </c>
      <c r="T16" s="7">
        <f t="shared" si="7"/>
        <v>0</v>
      </c>
      <c r="U16" s="8">
        <f t="shared" si="8"/>
        <v>0</v>
      </c>
      <c r="V16" s="14">
        <f t="shared" si="9"/>
        <v>36</v>
      </c>
      <c r="W16" s="7">
        <f t="shared" si="10"/>
        <v>0</v>
      </c>
      <c r="X16" s="8">
        <f t="shared" si="11"/>
        <v>0</v>
      </c>
      <c r="Y16" s="15">
        <f t="shared" si="12"/>
        <v>0.52219625092944078</v>
      </c>
      <c r="Z16" s="7">
        <f t="shared" si="13"/>
        <v>0.48522475636363638</v>
      </c>
      <c r="AA16" s="8">
        <f t="shared" si="14"/>
        <v>0.26477524363636362</v>
      </c>
    </row>
    <row r="17" spans="1:27" x14ac:dyDescent="0.35">
      <c r="A17" s="3" t="s">
        <v>29</v>
      </c>
      <c r="B17" s="24">
        <v>0.95709999999999995</v>
      </c>
      <c r="C17" s="7">
        <v>1.4545454545454546</v>
      </c>
      <c r="D17" s="7">
        <v>0.33359201999999999</v>
      </c>
      <c r="E17" s="7">
        <v>2.6666666666666665</v>
      </c>
      <c r="F17" s="7">
        <v>0.22239468000000001</v>
      </c>
      <c r="G17" s="7">
        <v>4</v>
      </c>
      <c r="H17" s="7">
        <v>0.22239468000000001</v>
      </c>
      <c r="I17" s="7"/>
      <c r="J17" s="8"/>
      <c r="K17" s="9">
        <v>1.9678559563636364</v>
      </c>
      <c r="L17" s="8">
        <v>2.5</v>
      </c>
      <c r="M17" s="14">
        <f t="shared" si="0"/>
        <v>54</v>
      </c>
      <c r="N17" s="7">
        <f t="shared" si="1"/>
        <v>9.388406265138061E-3</v>
      </c>
      <c r="O17" s="8">
        <f t="shared" si="2"/>
        <v>0.26615662341353147</v>
      </c>
      <c r="P17" s="14">
        <f t="shared" si="3"/>
        <v>36</v>
      </c>
      <c r="Q17" s="7">
        <f t="shared" si="4"/>
        <v>1.7212078152753111E-2</v>
      </c>
      <c r="R17" s="8">
        <f t="shared" si="5"/>
        <v>0.48795380959147433</v>
      </c>
      <c r="S17" s="14">
        <f t="shared" si="6"/>
        <v>36</v>
      </c>
      <c r="T17" s="7">
        <f t="shared" si="7"/>
        <v>2.5818117229129665E-2</v>
      </c>
      <c r="U17" s="8">
        <f t="shared" si="8"/>
        <v>0.73193071438721136</v>
      </c>
      <c r="V17" s="14">
        <f t="shared" si="9"/>
        <v>36</v>
      </c>
      <c r="W17" s="7">
        <f t="shared" si="10"/>
        <v>0</v>
      </c>
      <c r="X17" s="8">
        <f t="shared" si="11"/>
        <v>0</v>
      </c>
      <c r="Y17" s="15">
        <f t="shared" si="12"/>
        <v>2.056060972065235</v>
      </c>
      <c r="Z17" s="7">
        <f t="shared" si="13"/>
        <v>1.9678559563636362</v>
      </c>
      <c r="AA17" s="8">
        <f t="shared" si="14"/>
        <v>0.53214404363636381</v>
      </c>
    </row>
    <row r="18" spans="1:27" x14ac:dyDescent="0.35">
      <c r="A18" s="3" t="s">
        <v>52</v>
      </c>
      <c r="B18" s="24">
        <v>0.89829999999999999</v>
      </c>
      <c r="C18" s="7">
        <v>1.4545454545454546</v>
      </c>
      <c r="D18" s="7">
        <v>0.33359201999999999</v>
      </c>
      <c r="E18" s="7">
        <v>2.6666666666666665</v>
      </c>
      <c r="F18" s="7">
        <v>0.22239468000000001</v>
      </c>
      <c r="G18" s="7">
        <v>4</v>
      </c>
      <c r="H18" s="7">
        <v>0.22239468000000001</v>
      </c>
      <c r="I18" s="7"/>
      <c r="J18" s="8"/>
      <c r="K18" s="9">
        <v>1.9678559563636364</v>
      </c>
      <c r="L18" s="8">
        <v>2.5</v>
      </c>
      <c r="M18" s="14">
        <f t="shared" si="0"/>
        <v>54</v>
      </c>
      <c r="N18" s="7">
        <f t="shared" si="1"/>
        <v>1.0002942932610082E-2</v>
      </c>
      <c r="O18" s="8">
        <f t="shared" si="2"/>
        <v>0.28357843066802951</v>
      </c>
      <c r="P18" s="14">
        <f t="shared" si="3"/>
        <v>36</v>
      </c>
      <c r="Q18" s="7">
        <f t="shared" si="4"/>
        <v>1.8338728709785149E-2</v>
      </c>
      <c r="R18" s="8">
        <f t="shared" si="5"/>
        <v>0.5198937895580541</v>
      </c>
      <c r="S18" s="14">
        <f t="shared" si="6"/>
        <v>36</v>
      </c>
      <c r="T18" s="7">
        <f t="shared" si="7"/>
        <v>2.7508093064677726E-2</v>
      </c>
      <c r="U18" s="8">
        <f t="shared" si="8"/>
        <v>0.7798406843370812</v>
      </c>
      <c r="V18" s="14">
        <f t="shared" si="9"/>
        <v>36</v>
      </c>
      <c r="W18" s="7">
        <f t="shared" si="10"/>
        <v>0</v>
      </c>
      <c r="X18" s="8">
        <f t="shared" si="11"/>
        <v>0</v>
      </c>
      <c r="Y18" s="15">
        <f t="shared" si="12"/>
        <v>2.1906445022416081</v>
      </c>
      <c r="Z18" s="7">
        <f t="shared" si="13"/>
        <v>1.9678559563636366</v>
      </c>
      <c r="AA18" s="8">
        <f t="shared" si="14"/>
        <v>0.53214404363636336</v>
      </c>
    </row>
    <row r="19" spans="1:27" x14ac:dyDescent="0.35">
      <c r="A19" s="3" t="s">
        <v>24</v>
      </c>
      <c r="B19" s="24">
        <v>0.61019999999999996</v>
      </c>
      <c r="C19" s="7">
        <v>1.4545454545454546</v>
      </c>
      <c r="D19" s="7">
        <v>0.33359201999999999</v>
      </c>
      <c r="E19" s="7"/>
      <c r="F19" s="7"/>
      <c r="G19" s="7"/>
      <c r="H19" s="7"/>
      <c r="I19" s="7"/>
      <c r="J19" s="8"/>
      <c r="K19" s="9">
        <v>0.48522475636363638</v>
      </c>
      <c r="L19" s="8">
        <v>0.75</v>
      </c>
      <c r="M19" s="14">
        <f t="shared" si="0"/>
        <v>54</v>
      </c>
      <c r="N19" s="7">
        <f t="shared" si="1"/>
        <v>1.4725735228390097E-2</v>
      </c>
      <c r="O19" s="8">
        <f t="shared" si="2"/>
        <v>0.41746723085724502</v>
      </c>
      <c r="P19" s="14">
        <f t="shared" si="3"/>
        <v>36</v>
      </c>
      <c r="Q19" s="7">
        <f t="shared" si="4"/>
        <v>0</v>
      </c>
      <c r="R19" s="8">
        <f t="shared" si="5"/>
        <v>0</v>
      </c>
      <c r="S19" s="14">
        <f t="shared" si="6"/>
        <v>36</v>
      </c>
      <c r="T19" s="7">
        <f t="shared" si="7"/>
        <v>0</v>
      </c>
      <c r="U19" s="8">
        <f t="shared" si="8"/>
        <v>0</v>
      </c>
      <c r="V19" s="14">
        <f t="shared" si="9"/>
        <v>36</v>
      </c>
      <c r="W19" s="7">
        <f t="shared" si="10"/>
        <v>0</v>
      </c>
      <c r="X19" s="8">
        <f t="shared" si="11"/>
        <v>0</v>
      </c>
      <c r="Y19" s="15">
        <f t="shared" si="12"/>
        <v>0.79518970233306518</v>
      </c>
      <c r="Z19" s="7">
        <f t="shared" si="13"/>
        <v>0.48522475636363632</v>
      </c>
      <c r="AA19" s="8">
        <f t="shared" si="14"/>
        <v>0.26477524363636368</v>
      </c>
    </row>
    <row r="20" spans="1:27" x14ac:dyDescent="0.35">
      <c r="A20" s="3" t="s">
        <v>14</v>
      </c>
      <c r="B20" s="24">
        <v>0.96989999999999998</v>
      </c>
      <c r="C20" s="7">
        <v>1.4545454545454546</v>
      </c>
      <c r="D20" s="7">
        <v>0.33359201999999999</v>
      </c>
      <c r="E20" s="7"/>
      <c r="F20" s="7"/>
      <c r="G20" s="7"/>
      <c r="H20" s="7"/>
      <c r="I20" s="7"/>
      <c r="J20" s="8"/>
      <c r="K20" s="9">
        <v>0.48522475636363638</v>
      </c>
      <c r="L20" s="8">
        <v>1</v>
      </c>
      <c r="M20" s="14">
        <f t="shared" si="0"/>
        <v>54</v>
      </c>
      <c r="N20" s="7">
        <f t="shared" si="1"/>
        <v>9.2645052442144934E-3</v>
      </c>
      <c r="O20" s="8">
        <f t="shared" si="2"/>
        <v>0.26264409142085876</v>
      </c>
      <c r="P20" s="14">
        <f t="shared" si="3"/>
        <v>36</v>
      </c>
      <c r="Q20" s="7">
        <f t="shared" si="4"/>
        <v>0</v>
      </c>
      <c r="R20" s="8">
        <f t="shared" si="5"/>
        <v>0</v>
      </c>
      <c r="S20" s="14">
        <f t="shared" si="6"/>
        <v>36</v>
      </c>
      <c r="T20" s="7">
        <f t="shared" si="7"/>
        <v>0</v>
      </c>
      <c r="U20" s="8">
        <f t="shared" si="8"/>
        <v>0</v>
      </c>
      <c r="V20" s="14">
        <f t="shared" si="9"/>
        <v>36</v>
      </c>
      <c r="W20" s="7">
        <f t="shared" si="10"/>
        <v>0</v>
      </c>
      <c r="X20" s="8">
        <f t="shared" si="11"/>
        <v>0</v>
      </c>
      <c r="Y20" s="15">
        <f t="shared" si="12"/>
        <v>0.50028328318758264</v>
      </c>
      <c r="Z20" s="7">
        <f t="shared" si="13"/>
        <v>0.48522475636363638</v>
      </c>
      <c r="AA20" s="8">
        <f t="shared" si="14"/>
        <v>0.51477524363636362</v>
      </c>
    </row>
    <row r="21" spans="1:27" x14ac:dyDescent="0.35">
      <c r="A21" s="3" t="s">
        <v>22</v>
      </c>
      <c r="B21" s="24">
        <v>0.94830000000000003</v>
      </c>
      <c r="C21" s="7">
        <v>1.4545454545454546</v>
      </c>
      <c r="D21" s="7">
        <v>0.33359201999999999</v>
      </c>
      <c r="E21" s="7">
        <v>2.6666666666666665</v>
      </c>
      <c r="F21" s="7">
        <v>0.22239468000000001</v>
      </c>
      <c r="G21" s="7"/>
      <c r="H21" s="7"/>
      <c r="I21" s="7"/>
      <c r="J21" s="8"/>
      <c r="K21" s="9">
        <v>1.0782772363636364</v>
      </c>
      <c r="L21" s="8">
        <v>1.5</v>
      </c>
      <c r="M21" s="14">
        <f t="shared" si="0"/>
        <v>54</v>
      </c>
      <c r="N21" s="7">
        <f t="shared" si="1"/>
        <v>9.4755284576227318E-3</v>
      </c>
      <c r="O21" s="8">
        <f t="shared" si="2"/>
        <v>0.2686264940093756</v>
      </c>
      <c r="P21" s="14">
        <f t="shared" si="3"/>
        <v>36</v>
      </c>
      <c r="Q21" s="7">
        <f t="shared" si="4"/>
        <v>1.7371802172308343E-2</v>
      </c>
      <c r="R21" s="8">
        <f t="shared" si="5"/>
        <v>0.49248190568385536</v>
      </c>
      <c r="S21" s="14">
        <f t="shared" si="6"/>
        <v>36</v>
      </c>
      <c r="T21" s="7">
        <f t="shared" si="7"/>
        <v>0</v>
      </c>
      <c r="U21" s="8">
        <f t="shared" si="8"/>
        <v>0</v>
      </c>
      <c r="V21" s="14">
        <f t="shared" si="9"/>
        <v>36</v>
      </c>
      <c r="W21" s="7">
        <f t="shared" si="10"/>
        <v>0</v>
      </c>
      <c r="X21" s="8">
        <f t="shared" si="11"/>
        <v>0</v>
      </c>
      <c r="Y21" s="15">
        <f t="shared" si="12"/>
        <v>1.1370634149147278</v>
      </c>
      <c r="Z21" s="7">
        <f t="shared" si="13"/>
        <v>1.0782772363636364</v>
      </c>
      <c r="AA21" s="8">
        <f t="shared" si="14"/>
        <v>0.42172276363636363</v>
      </c>
    </row>
    <row r="22" spans="1:27" x14ac:dyDescent="0.35">
      <c r="A22" s="3" t="s">
        <v>26</v>
      </c>
      <c r="B22" s="24">
        <v>0.93889999999999996</v>
      </c>
      <c r="C22" s="7">
        <v>1.4545454545454546</v>
      </c>
      <c r="D22" s="7">
        <v>0.33359201999999999</v>
      </c>
      <c r="E22" s="7"/>
      <c r="F22" s="7"/>
      <c r="G22" s="7"/>
      <c r="H22" s="7"/>
      <c r="I22" s="7"/>
      <c r="J22" s="8"/>
      <c r="K22" s="9">
        <v>0.48522475636363638</v>
      </c>
      <c r="L22" s="8">
        <v>0.75</v>
      </c>
      <c r="M22" s="14">
        <f t="shared" si="0"/>
        <v>54</v>
      </c>
      <c r="N22" s="7">
        <f t="shared" si="1"/>
        <v>9.5703947559523245E-3</v>
      </c>
      <c r="O22" s="8">
        <f t="shared" si="2"/>
        <v>0.27131590613387041</v>
      </c>
      <c r="P22" s="14">
        <f t="shared" si="3"/>
        <v>36</v>
      </c>
      <c r="Q22" s="7">
        <f t="shared" si="4"/>
        <v>0</v>
      </c>
      <c r="R22" s="8">
        <f t="shared" si="5"/>
        <v>0</v>
      </c>
      <c r="S22" s="14">
        <f t="shared" si="6"/>
        <v>36</v>
      </c>
      <c r="T22" s="7">
        <f t="shared" si="7"/>
        <v>0</v>
      </c>
      <c r="U22" s="8">
        <f t="shared" si="8"/>
        <v>0</v>
      </c>
      <c r="V22" s="14">
        <f t="shared" si="9"/>
        <v>36</v>
      </c>
      <c r="W22" s="7">
        <f t="shared" si="10"/>
        <v>0</v>
      </c>
      <c r="X22" s="8">
        <f t="shared" si="11"/>
        <v>0</v>
      </c>
      <c r="Y22" s="15">
        <f t="shared" si="12"/>
        <v>0.51680131682142549</v>
      </c>
      <c r="Z22" s="7">
        <f t="shared" si="13"/>
        <v>0.48522475636363638</v>
      </c>
      <c r="AA22" s="8">
        <f t="shared" si="14"/>
        <v>0.26477524363636362</v>
      </c>
    </row>
    <row r="23" spans="1:27" x14ac:dyDescent="0.35">
      <c r="A23" s="3" t="s">
        <v>9</v>
      </c>
      <c r="B23" s="24">
        <v>0.93810000000000004</v>
      </c>
      <c r="C23" s="7">
        <v>1.4545454545454546</v>
      </c>
      <c r="D23" s="7">
        <v>0.33359201999999999</v>
      </c>
      <c r="E23" s="7">
        <v>2.6666666666666665</v>
      </c>
      <c r="F23" s="7">
        <v>0.22239468000000001</v>
      </c>
      <c r="G23" s="7">
        <v>4</v>
      </c>
      <c r="H23" s="7">
        <v>0.22239468000000001</v>
      </c>
      <c r="I23" s="7"/>
      <c r="J23" s="8"/>
      <c r="K23" s="9">
        <v>1.9678559563636364</v>
      </c>
      <c r="L23" s="8">
        <v>2.5</v>
      </c>
      <c r="M23" s="14">
        <f t="shared" si="0"/>
        <v>54</v>
      </c>
      <c r="N23" s="7">
        <f t="shared" si="1"/>
        <v>9.5785562694421025E-3</v>
      </c>
      <c r="O23" s="8">
        <f t="shared" si="2"/>
        <v>0.27154728096054886</v>
      </c>
      <c r="P23" s="14">
        <f t="shared" si="3"/>
        <v>36</v>
      </c>
      <c r="Q23" s="7">
        <f t="shared" si="4"/>
        <v>1.7560686493977188E-2</v>
      </c>
      <c r="R23" s="8">
        <f t="shared" si="5"/>
        <v>0.49783668176100626</v>
      </c>
      <c r="S23" s="14">
        <f t="shared" si="6"/>
        <v>36</v>
      </c>
      <c r="T23" s="7">
        <f t="shared" si="7"/>
        <v>2.634102974096578E-2</v>
      </c>
      <c r="U23" s="8">
        <f t="shared" si="8"/>
        <v>0.74675502264150939</v>
      </c>
      <c r="V23" s="14">
        <f t="shared" si="9"/>
        <v>36</v>
      </c>
      <c r="W23" s="7">
        <f t="shared" si="10"/>
        <v>0</v>
      </c>
      <c r="X23" s="8">
        <f t="shared" si="11"/>
        <v>0</v>
      </c>
      <c r="Y23" s="15">
        <f t="shared" si="12"/>
        <v>2.0977038230078202</v>
      </c>
      <c r="Z23" s="7">
        <f t="shared" si="13"/>
        <v>1.9678559563636362</v>
      </c>
      <c r="AA23" s="8">
        <f t="shared" si="14"/>
        <v>0.53214404363636381</v>
      </c>
    </row>
    <row r="24" spans="1:27" x14ac:dyDescent="0.35">
      <c r="A24" s="3" t="s">
        <v>16</v>
      </c>
      <c r="B24" s="24">
        <v>0.71250000000000002</v>
      </c>
      <c r="C24" s="7">
        <v>1.4545454545454546</v>
      </c>
      <c r="D24" s="7">
        <v>0.33359201999999999</v>
      </c>
      <c r="E24" s="7"/>
      <c r="F24" s="7"/>
      <c r="G24" s="7"/>
      <c r="H24" s="7"/>
      <c r="I24" s="7"/>
      <c r="J24" s="8"/>
      <c r="K24" s="9">
        <v>0.48522475636363638</v>
      </c>
      <c r="L24" s="8">
        <v>0.75</v>
      </c>
      <c r="M24" s="14">
        <f t="shared" si="0"/>
        <v>54</v>
      </c>
      <c r="N24" s="7">
        <f t="shared" si="1"/>
        <v>1.2611429665071771E-2</v>
      </c>
      <c r="O24" s="8">
        <f t="shared" si="2"/>
        <v>0.35752772528995214</v>
      </c>
      <c r="P24" s="14">
        <f t="shared" si="3"/>
        <v>36</v>
      </c>
      <c r="Q24" s="7">
        <f t="shared" si="4"/>
        <v>0</v>
      </c>
      <c r="R24" s="8">
        <f t="shared" si="5"/>
        <v>0</v>
      </c>
      <c r="S24" s="14">
        <f t="shared" si="6"/>
        <v>36</v>
      </c>
      <c r="T24" s="7">
        <f t="shared" si="7"/>
        <v>0</v>
      </c>
      <c r="U24" s="8">
        <f t="shared" si="8"/>
        <v>0</v>
      </c>
      <c r="V24" s="14">
        <f t="shared" si="9"/>
        <v>36</v>
      </c>
      <c r="W24" s="7">
        <f t="shared" si="10"/>
        <v>0</v>
      </c>
      <c r="X24" s="8">
        <f t="shared" si="11"/>
        <v>0</v>
      </c>
      <c r="Y24" s="15">
        <f t="shared" si="12"/>
        <v>0.6810172019138756</v>
      </c>
      <c r="Z24" s="7">
        <f t="shared" si="13"/>
        <v>0.48522475636363638</v>
      </c>
      <c r="AA24" s="8">
        <f t="shared" si="14"/>
        <v>0.26477524363636362</v>
      </c>
    </row>
    <row r="25" spans="1:27" x14ac:dyDescent="0.35">
      <c r="A25" s="3" t="s">
        <v>18</v>
      </c>
      <c r="B25" s="24">
        <v>0.91959999999999997</v>
      </c>
      <c r="C25" s="7">
        <v>1.4545454545454546</v>
      </c>
      <c r="D25" s="7">
        <v>0.33359201999999999</v>
      </c>
      <c r="E25" s="7">
        <v>2.6666666666666665</v>
      </c>
      <c r="F25" s="7">
        <v>0.22239468000000001</v>
      </c>
      <c r="G25" s="7">
        <v>4</v>
      </c>
      <c r="H25" s="7">
        <v>0.22239468000000001</v>
      </c>
      <c r="I25" s="7">
        <v>8</v>
      </c>
      <c r="J25" s="8">
        <v>0.22239468000000001</v>
      </c>
      <c r="K25" s="9">
        <v>3.7470133963636365</v>
      </c>
      <c r="L25" s="8">
        <v>4.75</v>
      </c>
      <c r="M25" s="14">
        <f t="shared" si="0"/>
        <v>54</v>
      </c>
      <c r="N25" s="7">
        <f t="shared" si="1"/>
        <v>9.7712523231444515E-3</v>
      </c>
      <c r="O25" s="8">
        <f t="shared" si="2"/>
        <v>0.27701011773498363</v>
      </c>
      <c r="P25" s="14">
        <f t="shared" si="3"/>
        <v>36</v>
      </c>
      <c r="Q25" s="7">
        <f t="shared" si="4"/>
        <v>1.7913962592431495E-2</v>
      </c>
      <c r="R25" s="8">
        <f t="shared" si="5"/>
        <v>0.5078518825141366</v>
      </c>
      <c r="S25" s="14">
        <f t="shared" si="6"/>
        <v>36</v>
      </c>
      <c r="T25" s="7">
        <f t="shared" si="7"/>
        <v>2.6870943888647237E-2</v>
      </c>
      <c r="U25" s="8">
        <f t="shared" si="8"/>
        <v>0.76177782377120484</v>
      </c>
      <c r="V25" s="14">
        <f t="shared" si="9"/>
        <v>36</v>
      </c>
      <c r="W25" s="7">
        <f t="shared" si="10"/>
        <v>5.3741887777294474E-2</v>
      </c>
      <c r="X25" s="8">
        <f t="shared" si="11"/>
        <v>1.5235556475424097</v>
      </c>
      <c r="Y25" s="15">
        <f t="shared" si="12"/>
        <v>4.0746122187512359</v>
      </c>
      <c r="Z25" s="7">
        <f t="shared" si="13"/>
        <v>3.7470133963636365</v>
      </c>
      <c r="AA25" s="8">
        <f t="shared" si="14"/>
        <v>1.0029866036363635</v>
      </c>
    </row>
    <row r="26" spans="1:27" x14ac:dyDescent="0.35">
      <c r="A26" s="3" t="s">
        <v>20</v>
      </c>
      <c r="B26" s="24">
        <v>0.91830000000000001</v>
      </c>
      <c r="C26" s="7">
        <v>1.4545454545454546</v>
      </c>
      <c r="D26" s="7">
        <v>0.33359201999999999</v>
      </c>
      <c r="E26" s="7">
        <v>2.6666666666666665</v>
      </c>
      <c r="F26" s="7">
        <v>0.22239468000000001</v>
      </c>
      <c r="G26" s="7">
        <v>4</v>
      </c>
      <c r="H26" s="7">
        <v>0.22239468000000001</v>
      </c>
      <c r="I26" s="7"/>
      <c r="J26" s="8"/>
      <c r="K26" s="9">
        <v>1.9678559563636364</v>
      </c>
      <c r="L26" s="8">
        <v>2.5</v>
      </c>
      <c r="M26" s="14">
        <f t="shared" si="0"/>
        <v>54</v>
      </c>
      <c r="N26" s="7">
        <f t="shared" si="1"/>
        <v>9.785085088057973E-3</v>
      </c>
      <c r="O26" s="8">
        <f t="shared" si="2"/>
        <v>0.27740226970389947</v>
      </c>
      <c r="P26" s="14">
        <f t="shared" si="3"/>
        <v>36</v>
      </c>
      <c r="Q26" s="7">
        <f t="shared" si="4"/>
        <v>1.7939322661439619E-2</v>
      </c>
      <c r="R26" s="8">
        <f t="shared" si="5"/>
        <v>0.50857082779048246</v>
      </c>
      <c r="S26" s="14">
        <f t="shared" si="6"/>
        <v>36</v>
      </c>
      <c r="T26" s="7">
        <f t="shared" si="7"/>
        <v>2.6908983992159425E-2</v>
      </c>
      <c r="U26" s="8">
        <f t="shared" si="8"/>
        <v>0.76285624168572364</v>
      </c>
      <c r="V26" s="14">
        <f t="shared" si="9"/>
        <v>36</v>
      </c>
      <c r="W26" s="7">
        <f t="shared" si="10"/>
        <v>0</v>
      </c>
      <c r="X26" s="8">
        <f t="shared" si="11"/>
        <v>0</v>
      </c>
      <c r="Y26" s="15">
        <f t="shared" si="12"/>
        <v>2.1429336342846961</v>
      </c>
      <c r="Z26" s="7">
        <f t="shared" si="13"/>
        <v>1.9678559563636364</v>
      </c>
      <c r="AA26" s="8">
        <f t="shared" si="14"/>
        <v>0.53214404363636358</v>
      </c>
    </row>
    <row r="27" spans="1:27" x14ac:dyDescent="0.35">
      <c r="A27" s="3" t="s">
        <v>17</v>
      </c>
      <c r="B27" s="24">
        <v>0.96879999999999999</v>
      </c>
      <c r="C27" s="7">
        <v>1.4545454545454546</v>
      </c>
      <c r="D27" s="7">
        <v>0.33359201999999999</v>
      </c>
      <c r="E27" s="7">
        <v>2.6666666666666665</v>
      </c>
      <c r="F27" s="7">
        <v>0.22239468000000001</v>
      </c>
      <c r="G27" s="7">
        <v>4</v>
      </c>
      <c r="H27" s="7">
        <v>0.22239468000000001</v>
      </c>
      <c r="I27" s="7">
        <v>8</v>
      </c>
      <c r="J27" s="8">
        <v>0.22239468000000001</v>
      </c>
      <c r="K27" s="9">
        <v>3.7470133963636365</v>
      </c>
      <c r="L27" s="8">
        <v>4.75</v>
      </c>
      <c r="M27" s="14">
        <f t="shared" si="0"/>
        <v>54</v>
      </c>
      <c r="N27" s="7">
        <f t="shared" si="1"/>
        <v>9.2750243975677511E-3</v>
      </c>
      <c r="O27" s="8">
        <f t="shared" si="2"/>
        <v>0.26294230415884695</v>
      </c>
      <c r="P27" s="14">
        <f t="shared" si="3"/>
        <v>36</v>
      </c>
      <c r="Q27" s="7">
        <f t="shared" si="4"/>
        <v>1.7004211395540876E-2</v>
      </c>
      <c r="R27" s="8">
        <f t="shared" si="5"/>
        <v>0.48206089095788607</v>
      </c>
      <c r="S27" s="14">
        <f t="shared" si="6"/>
        <v>36</v>
      </c>
      <c r="T27" s="7">
        <f t="shared" si="7"/>
        <v>2.5506317093311314E-2</v>
      </c>
      <c r="U27" s="8">
        <f t="shared" si="8"/>
        <v>0.7230913364368291</v>
      </c>
      <c r="V27" s="14">
        <f t="shared" si="9"/>
        <v>36</v>
      </c>
      <c r="W27" s="7">
        <f t="shared" si="10"/>
        <v>5.1012634186622628E-2</v>
      </c>
      <c r="X27" s="8">
        <f t="shared" si="11"/>
        <v>1.4461826728736582</v>
      </c>
      <c r="Y27" s="15">
        <f t="shared" si="12"/>
        <v>3.8676851737857518</v>
      </c>
      <c r="Z27" s="7">
        <f t="shared" si="13"/>
        <v>3.7470133963636365</v>
      </c>
      <c r="AA27" s="8">
        <f t="shared" si="14"/>
        <v>1.0029866036363635</v>
      </c>
    </row>
    <row r="28" spans="1:27" x14ac:dyDescent="0.35">
      <c r="A28" s="3" t="s">
        <v>10</v>
      </c>
      <c r="B28" s="24">
        <v>0.86099999999999999</v>
      </c>
      <c r="C28" s="7">
        <v>1.4545454545454546</v>
      </c>
      <c r="D28" s="7">
        <v>0.33359201999999999</v>
      </c>
      <c r="E28" s="7">
        <v>2.6666666666666665</v>
      </c>
      <c r="F28" s="7">
        <v>0.22239468000000001</v>
      </c>
      <c r="G28" s="7">
        <v>4</v>
      </c>
      <c r="H28" s="7">
        <v>0.22239468000000001</v>
      </c>
      <c r="I28" s="7"/>
      <c r="J28" s="8"/>
      <c r="K28" s="9">
        <v>1.9678559563636364</v>
      </c>
      <c r="L28" s="8">
        <v>3.5</v>
      </c>
      <c r="M28" s="14">
        <f t="shared" si="0"/>
        <v>54</v>
      </c>
      <c r="N28" s="7">
        <f t="shared" si="1"/>
        <v>1.0436287614824201E-2</v>
      </c>
      <c r="O28" s="8">
        <f t="shared" si="2"/>
        <v>0.29586353573645868</v>
      </c>
      <c r="P28" s="14">
        <f t="shared" si="3"/>
        <v>36</v>
      </c>
      <c r="Q28" s="7">
        <f t="shared" si="4"/>
        <v>1.9133193960511035E-2</v>
      </c>
      <c r="R28" s="8">
        <f t="shared" si="5"/>
        <v>0.54241648218350758</v>
      </c>
      <c r="S28" s="14">
        <f t="shared" si="6"/>
        <v>36</v>
      </c>
      <c r="T28" s="7">
        <f t="shared" si="7"/>
        <v>2.8699790940766551E-2</v>
      </c>
      <c r="U28" s="8">
        <f t="shared" si="8"/>
        <v>0.81362472327526125</v>
      </c>
      <c r="V28" s="14">
        <f t="shared" si="9"/>
        <v>36</v>
      </c>
      <c r="W28" s="7">
        <f t="shared" si="10"/>
        <v>0</v>
      </c>
      <c r="X28" s="8">
        <f t="shared" si="11"/>
        <v>0</v>
      </c>
      <c r="Y28" s="15">
        <f t="shared" si="12"/>
        <v>2.2855469876464998</v>
      </c>
      <c r="Z28" s="7">
        <f t="shared" si="13"/>
        <v>1.9678559563636362</v>
      </c>
      <c r="AA28" s="8">
        <f t="shared" si="14"/>
        <v>1.5321440436363638</v>
      </c>
    </row>
    <row r="29" spans="1:27" x14ac:dyDescent="0.35">
      <c r="A29" s="3" t="s">
        <v>53</v>
      </c>
      <c r="B29" s="24">
        <v>0.90949999999999998</v>
      </c>
      <c r="C29" s="7">
        <v>1.4545454545454546</v>
      </c>
      <c r="D29" s="7">
        <v>0.33359201999999999</v>
      </c>
      <c r="E29" s="7"/>
      <c r="F29" s="7"/>
      <c r="G29" s="7"/>
      <c r="H29" s="7"/>
      <c r="I29" s="7"/>
      <c r="J29" s="8"/>
      <c r="K29" s="9">
        <v>0.48522475636363638</v>
      </c>
      <c r="L29" s="8">
        <v>0.75</v>
      </c>
      <c r="M29" s="14">
        <f t="shared" si="0"/>
        <v>54</v>
      </c>
      <c r="N29" s="7">
        <f t="shared" si="1"/>
        <v>9.8797621070518277E-3</v>
      </c>
      <c r="O29" s="8">
        <f t="shared" si="2"/>
        <v>0.28008631585386579</v>
      </c>
      <c r="P29" s="14">
        <f t="shared" si="3"/>
        <v>36</v>
      </c>
      <c r="Q29" s="7">
        <f t="shared" si="4"/>
        <v>0</v>
      </c>
      <c r="R29" s="8">
        <f t="shared" si="5"/>
        <v>0</v>
      </c>
      <c r="S29" s="14">
        <f t="shared" si="6"/>
        <v>36</v>
      </c>
      <c r="T29" s="7">
        <f t="shared" si="7"/>
        <v>0</v>
      </c>
      <c r="U29" s="8">
        <f t="shared" si="8"/>
        <v>0</v>
      </c>
      <c r="V29" s="14">
        <f t="shared" si="9"/>
        <v>36</v>
      </c>
      <c r="W29" s="7">
        <f t="shared" si="10"/>
        <v>0</v>
      </c>
      <c r="X29" s="8">
        <f t="shared" si="11"/>
        <v>0</v>
      </c>
      <c r="Y29" s="15">
        <f t="shared" si="12"/>
        <v>0.53350715378079872</v>
      </c>
      <c r="Z29" s="7">
        <f t="shared" si="13"/>
        <v>0.48522475636363643</v>
      </c>
      <c r="AA29" s="8">
        <f t="shared" si="14"/>
        <v>0.26477524363636357</v>
      </c>
    </row>
    <row r="30" spans="1:27" x14ac:dyDescent="0.35">
      <c r="A30" s="3" t="s">
        <v>30</v>
      </c>
      <c r="B30" s="24">
        <v>0.90329999999999999</v>
      </c>
      <c r="C30" s="7">
        <v>1.4545454545454546</v>
      </c>
      <c r="D30" s="7">
        <v>0.33359201999999999</v>
      </c>
      <c r="E30" s="7">
        <v>2.6666666666666665</v>
      </c>
      <c r="F30" s="7">
        <v>0.22239468000000001</v>
      </c>
      <c r="G30" s="7"/>
      <c r="H30" s="7"/>
      <c r="I30" s="7"/>
      <c r="J30" s="8"/>
      <c r="K30" s="9">
        <v>1.0782772363636364</v>
      </c>
      <c r="L30" s="8">
        <v>1.5</v>
      </c>
      <c r="M30" s="14">
        <f t="shared" si="0"/>
        <v>54</v>
      </c>
      <c r="N30" s="7">
        <f t="shared" si="1"/>
        <v>9.9475740466773346E-3</v>
      </c>
      <c r="O30" s="8">
        <f t="shared" si="2"/>
        <v>0.2820087504362791</v>
      </c>
      <c r="P30" s="14">
        <f t="shared" si="3"/>
        <v>36</v>
      </c>
      <c r="Q30" s="7">
        <f t="shared" si="4"/>
        <v>1.8237219085575115E-2</v>
      </c>
      <c r="R30" s="8">
        <f t="shared" si="5"/>
        <v>0.51701604246651167</v>
      </c>
      <c r="S30" s="14">
        <f t="shared" si="6"/>
        <v>36</v>
      </c>
      <c r="T30" s="7">
        <f t="shared" si="7"/>
        <v>0</v>
      </c>
      <c r="U30" s="8">
        <f t="shared" si="8"/>
        <v>0</v>
      </c>
      <c r="V30" s="14">
        <f t="shared" si="9"/>
        <v>36</v>
      </c>
      <c r="W30" s="7">
        <f t="shared" si="10"/>
        <v>0</v>
      </c>
      <c r="X30" s="8">
        <f t="shared" si="11"/>
        <v>0</v>
      </c>
      <c r="Y30" s="15">
        <f t="shared" si="12"/>
        <v>1.1937088856012803</v>
      </c>
      <c r="Z30" s="7">
        <f t="shared" si="13"/>
        <v>1.0782772363636366</v>
      </c>
      <c r="AA30" s="8">
        <f t="shared" si="14"/>
        <v>0.42172276363636341</v>
      </c>
    </row>
    <row r="31" spans="1:27" x14ac:dyDescent="0.35">
      <c r="A31" s="3" t="s">
        <v>23</v>
      </c>
      <c r="B31" s="24">
        <v>0.92020000000000002</v>
      </c>
      <c r="C31" s="7">
        <v>1.4545454545454546</v>
      </c>
      <c r="D31" s="7">
        <v>0.33359201999999999</v>
      </c>
      <c r="E31" s="7"/>
      <c r="F31" s="7"/>
      <c r="G31" s="7"/>
      <c r="H31" s="7"/>
      <c r="I31" s="7"/>
      <c r="J31" s="8"/>
      <c r="K31" s="9">
        <v>0.48522475636363638</v>
      </c>
      <c r="L31" s="8">
        <v>0.75</v>
      </c>
      <c r="M31" s="14">
        <f t="shared" si="0"/>
        <v>54</v>
      </c>
      <c r="N31" s="7">
        <f t="shared" si="1"/>
        <v>9.7648811523186659E-3</v>
      </c>
      <c r="O31" s="8">
        <f t="shared" si="2"/>
        <v>0.27682949822765801</v>
      </c>
      <c r="P31" s="14">
        <f t="shared" si="3"/>
        <v>36</v>
      </c>
      <c r="Q31" s="7">
        <f t="shared" si="4"/>
        <v>0</v>
      </c>
      <c r="R31" s="8">
        <f t="shared" si="5"/>
        <v>0</v>
      </c>
      <c r="S31" s="14">
        <f t="shared" si="6"/>
        <v>36</v>
      </c>
      <c r="T31" s="7">
        <f t="shared" si="7"/>
        <v>0</v>
      </c>
      <c r="U31" s="8">
        <f t="shared" si="8"/>
        <v>0</v>
      </c>
      <c r="V31" s="14">
        <f t="shared" si="9"/>
        <v>36</v>
      </c>
      <c r="W31" s="7">
        <f t="shared" si="10"/>
        <v>0</v>
      </c>
      <c r="X31" s="8">
        <f t="shared" si="11"/>
        <v>0</v>
      </c>
      <c r="Y31" s="15">
        <f t="shared" si="12"/>
        <v>0.52730358222520801</v>
      </c>
      <c r="Z31" s="7">
        <f t="shared" si="13"/>
        <v>0.48522475636363643</v>
      </c>
      <c r="AA31" s="8">
        <f t="shared" si="14"/>
        <v>0.26477524363636357</v>
      </c>
    </row>
    <row r="32" spans="1:27" x14ac:dyDescent="0.35">
      <c r="A32" s="3" t="s">
        <v>36</v>
      </c>
      <c r="B32" s="24">
        <v>0.753</v>
      </c>
      <c r="C32" s="7">
        <v>1.4545454545454546</v>
      </c>
      <c r="D32" s="7">
        <v>0.33359201999999999</v>
      </c>
      <c r="E32" s="7"/>
      <c r="F32" s="7"/>
      <c r="G32" s="7"/>
      <c r="H32" s="7"/>
      <c r="I32" s="7"/>
      <c r="J32" s="8"/>
      <c r="K32" s="9">
        <v>0.48522475636363638</v>
      </c>
      <c r="L32" s="8">
        <v>0.75</v>
      </c>
      <c r="M32" s="14">
        <f t="shared" si="0"/>
        <v>54</v>
      </c>
      <c r="N32" s="7">
        <f t="shared" si="1"/>
        <v>1.1933125679101776E-2</v>
      </c>
      <c r="O32" s="8">
        <f t="shared" si="2"/>
        <v>0.3382981464396958</v>
      </c>
      <c r="P32" s="14">
        <f t="shared" si="3"/>
        <v>36</v>
      </c>
      <c r="Q32" s="7">
        <f t="shared" si="4"/>
        <v>0</v>
      </c>
      <c r="R32" s="8">
        <f t="shared" si="5"/>
        <v>0</v>
      </c>
      <c r="S32" s="14">
        <f t="shared" si="6"/>
        <v>36</v>
      </c>
      <c r="T32" s="7">
        <f t="shared" si="7"/>
        <v>0</v>
      </c>
      <c r="U32" s="8">
        <f t="shared" si="8"/>
        <v>0</v>
      </c>
      <c r="V32" s="14">
        <f t="shared" si="9"/>
        <v>36</v>
      </c>
      <c r="W32" s="7">
        <f t="shared" si="10"/>
        <v>0</v>
      </c>
      <c r="X32" s="8">
        <f t="shared" si="11"/>
        <v>0</v>
      </c>
      <c r="Y32" s="15">
        <f t="shared" si="12"/>
        <v>0.64438878667149591</v>
      </c>
      <c r="Z32" s="7">
        <f t="shared" si="13"/>
        <v>0.48522475636363643</v>
      </c>
      <c r="AA32" s="8">
        <f t="shared" si="14"/>
        <v>0.26477524363636357</v>
      </c>
    </row>
    <row r="33" spans="1:27" x14ac:dyDescent="0.35">
      <c r="A33" s="3" t="s">
        <v>31</v>
      </c>
      <c r="B33" s="24">
        <v>0.73260000000000003</v>
      </c>
      <c r="C33" s="7">
        <v>1.4545454545454546</v>
      </c>
      <c r="D33" s="7">
        <v>0.33359201999999999</v>
      </c>
      <c r="E33" s="7">
        <v>2.6666666666666665</v>
      </c>
      <c r="F33" s="7">
        <v>0.22239468000000001</v>
      </c>
      <c r="G33" s="7"/>
      <c r="H33" s="7"/>
      <c r="I33" s="7"/>
      <c r="J33" s="8"/>
      <c r="K33" s="9">
        <v>1.0782772363636364</v>
      </c>
      <c r="L33" s="8">
        <v>1.5</v>
      </c>
      <c r="M33" s="14">
        <f t="shared" si="0"/>
        <v>54</v>
      </c>
      <c r="N33" s="7">
        <f t="shared" si="1"/>
        <v>1.2265415829052193E-2</v>
      </c>
      <c r="O33" s="8">
        <f t="shared" si="2"/>
        <v>0.34771840604571513</v>
      </c>
      <c r="P33" s="14">
        <f t="shared" si="3"/>
        <v>36</v>
      </c>
      <c r="Q33" s="7">
        <f t="shared" si="4"/>
        <v>2.2486595686595688E-2</v>
      </c>
      <c r="R33" s="8">
        <f t="shared" si="5"/>
        <v>0.63748374441714439</v>
      </c>
      <c r="S33" s="14">
        <f t="shared" si="6"/>
        <v>36</v>
      </c>
      <c r="T33" s="7">
        <f t="shared" si="7"/>
        <v>0</v>
      </c>
      <c r="U33" s="8">
        <f t="shared" si="8"/>
        <v>0</v>
      </c>
      <c r="V33" s="14">
        <f t="shared" si="9"/>
        <v>36</v>
      </c>
      <c r="W33" s="7">
        <f t="shared" si="10"/>
        <v>0</v>
      </c>
      <c r="X33" s="8">
        <f t="shared" si="11"/>
        <v>0</v>
      </c>
      <c r="Y33" s="15">
        <f t="shared" si="12"/>
        <v>1.4718498994862632</v>
      </c>
      <c r="Z33" s="7">
        <f t="shared" si="13"/>
        <v>1.0782772363636364</v>
      </c>
      <c r="AA33" s="8">
        <f t="shared" si="14"/>
        <v>0.42172276363636363</v>
      </c>
    </row>
    <row r="34" spans="1:27" x14ac:dyDescent="0.35">
      <c r="A34" s="3" t="s">
        <v>37</v>
      </c>
      <c r="B34" s="24">
        <v>0.73909999999999998</v>
      </c>
      <c r="C34" s="7">
        <v>1.4545454545454546</v>
      </c>
      <c r="D34" s="7">
        <v>0.33359201999999999</v>
      </c>
      <c r="E34" s="7"/>
      <c r="F34" s="7"/>
      <c r="G34" s="7"/>
      <c r="H34" s="7"/>
      <c r="I34" s="7"/>
      <c r="J34" s="8"/>
      <c r="K34" s="9">
        <v>0.48522475636363638</v>
      </c>
      <c r="L34" s="8">
        <v>0.75</v>
      </c>
      <c r="M34" s="14">
        <f t="shared" si="0"/>
        <v>54</v>
      </c>
      <c r="N34" s="7">
        <f t="shared" si="1"/>
        <v>1.2157547877639882E-2</v>
      </c>
      <c r="O34" s="8">
        <f t="shared" si="2"/>
        <v>0.34466040355715183</v>
      </c>
      <c r="P34" s="14">
        <f t="shared" si="3"/>
        <v>36</v>
      </c>
      <c r="Q34" s="7">
        <f t="shared" si="4"/>
        <v>0</v>
      </c>
      <c r="R34" s="8">
        <f t="shared" si="5"/>
        <v>0</v>
      </c>
      <c r="S34" s="14">
        <f t="shared" si="6"/>
        <v>36</v>
      </c>
      <c r="T34" s="7">
        <f t="shared" si="7"/>
        <v>0</v>
      </c>
      <c r="U34" s="8">
        <f t="shared" si="8"/>
        <v>0</v>
      </c>
      <c r="V34" s="14">
        <f t="shared" si="9"/>
        <v>36</v>
      </c>
      <c r="W34" s="7">
        <f t="shared" si="10"/>
        <v>0</v>
      </c>
      <c r="X34" s="8">
        <f t="shared" si="11"/>
        <v>0</v>
      </c>
      <c r="Y34" s="15">
        <f t="shared" si="12"/>
        <v>0.65650758539255361</v>
      </c>
      <c r="Z34" s="7">
        <f t="shared" si="13"/>
        <v>0.48522475636363638</v>
      </c>
      <c r="AA34" s="8">
        <f t="shared" si="14"/>
        <v>0.26477524363636362</v>
      </c>
    </row>
    <row r="35" spans="1:27" x14ac:dyDescent="0.35">
      <c r="A35" s="3" t="s">
        <v>15</v>
      </c>
      <c r="B35" s="24">
        <v>0.9093</v>
      </c>
      <c r="C35" s="7">
        <v>1.4545454545454546</v>
      </c>
      <c r="D35" s="7">
        <v>0.33359201999999999</v>
      </c>
      <c r="E35" s="7"/>
      <c r="F35" s="7"/>
      <c r="G35" s="7"/>
      <c r="H35" s="7"/>
      <c r="I35" s="7"/>
      <c r="J35" s="8"/>
      <c r="K35" s="9">
        <v>0.48522475636363638</v>
      </c>
      <c r="L35" s="8">
        <v>0.75</v>
      </c>
      <c r="M35" s="14">
        <f t="shared" si="0"/>
        <v>54</v>
      </c>
      <c r="N35" s="7">
        <f t="shared" si="1"/>
        <v>9.8819351549143709E-3</v>
      </c>
      <c r="O35" s="8">
        <f t="shared" si="2"/>
        <v>0.28014792067424493</v>
      </c>
      <c r="P35" s="14">
        <f t="shared" si="3"/>
        <v>36</v>
      </c>
      <c r="Q35" s="7">
        <f t="shared" si="4"/>
        <v>0</v>
      </c>
      <c r="R35" s="8">
        <f t="shared" si="5"/>
        <v>0</v>
      </c>
      <c r="S35" s="14">
        <f t="shared" si="6"/>
        <v>36</v>
      </c>
      <c r="T35" s="7">
        <f t="shared" si="7"/>
        <v>0</v>
      </c>
      <c r="U35" s="8">
        <f t="shared" si="8"/>
        <v>0</v>
      </c>
      <c r="V35" s="14">
        <f t="shared" si="9"/>
        <v>36</v>
      </c>
      <c r="W35" s="7">
        <f t="shared" si="10"/>
        <v>0</v>
      </c>
      <c r="X35" s="8">
        <f t="shared" si="11"/>
        <v>0</v>
      </c>
      <c r="Y35" s="15">
        <f t="shared" si="12"/>
        <v>0.53362449836537607</v>
      </c>
      <c r="Z35" s="7">
        <f t="shared" si="13"/>
        <v>0.48522475636363643</v>
      </c>
      <c r="AA35" s="8">
        <f t="shared" si="14"/>
        <v>0.26477524363636357</v>
      </c>
    </row>
    <row r="36" spans="1:27" x14ac:dyDescent="0.35">
      <c r="A36" s="16" t="s">
        <v>19</v>
      </c>
      <c r="B36" s="25">
        <v>0.94630000000000003</v>
      </c>
      <c r="C36" s="17">
        <v>1.4545454545454546</v>
      </c>
      <c r="D36" s="17">
        <v>0.33359201999999999</v>
      </c>
      <c r="E36" s="17">
        <v>2.6666666666666665</v>
      </c>
      <c r="F36" s="17">
        <v>0.22239468000000001</v>
      </c>
      <c r="G36" s="17">
        <v>4</v>
      </c>
      <c r="H36" s="17">
        <v>0.22239468000000001</v>
      </c>
      <c r="I36" s="17"/>
      <c r="J36" s="18"/>
      <c r="K36" s="19">
        <v>1.9678559563636364</v>
      </c>
      <c r="L36" s="18">
        <v>2.5</v>
      </c>
      <c r="M36" s="20">
        <f t="shared" si="0"/>
        <v>54</v>
      </c>
      <c r="N36" s="17">
        <f t="shared" si="1"/>
        <v>9.4955549364510589E-3</v>
      </c>
      <c r="O36" s="18">
        <f t="shared" si="2"/>
        <v>0.2691942346709193</v>
      </c>
      <c r="P36" s="20">
        <f t="shared" si="3"/>
        <v>36</v>
      </c>
      <c r="Q36" s="17">
        <f t="shared" si="4"/>
        <v>1.7408517383493607E-2</v>
      </c>
      <c r="R36" s="18">
        <f t="shared" si="5"/>
        <v>0.49352276356335201</v>
      </c>
      <c r="S36" s="20">
        <f t="shared" si="6"/>
        <v>36</v>
      </c>
      <c r="T36" s="17">
        <f t="shared" si="7"/>
        <v>2.6112776075240408E-2</v>
      </c>
      <c r="U36" s="18">
        <f t="shared" si="8"/>
        <v>0.74028414534502796</v>
      </c>
      <c r="V36" s="20">
        <f t="shared" si="9"/>
        <v>36</v>
      </c>
      <c r="W36" s="17">
        <f t="shared" si="10"/>
        <v>0</v>
      </c>
      <c r="X36" s="18">
        <f t="shared" si="11"/>
        <v>0</v>
      </c>
      <c r="Y36" s="21">
        <f t="shared" si="12"/>
        <v>2.0795265310827817</v>
      </c>
      <c r="Z36" s="17">
        <f t="shared" si="13"/>
        <v>1.9678559563636364</v>
      </c>
      <c r="AA36" s="18">
        <f t="shared" si="14"/>
        <v>0.53214404363636358</v>
      </c>
    </row>
    <row r="37" spans="1:27" x14ac:dyDescent="0.35">
      <c r="Y37" s="1"/>
      <c r="Z37" s="1"/>
      <c r="AA37" s="1"/>
    </row>
  </sheetData>
  <sortState xmlns:xlrd2="http://schemas.microsoft.com/office/spreadsheetml/2017/richdata2" ref="A4:L35">
    <sortCondition ref="A3:A35"/>
  </sortState>
  <mergeCells count="16">
    <mergeCell ref="A2:A3"/>
    <mergeCell ref="K2:K3"/>
    <mergeCell ref="L2:L3"/>
    <mergeCell ref="C2:D2"/>
    <mergeCell ref="E2:F2"/>
    <mergeCell ref="G2:H2"/>
    <mergeCell ref="I2:J2"/>
    <mergeCell ref="Y2:Y3"/>
    <mergeCell ref="AA2:AA3"/>
    <mergeCell ref="S2:U2"/>
    <mergeCell ref="V2:X2"/>
    <mergeCell ref="B1:L1"/>
    <mergeCell ref="M1:X1"/>
    <mergeCell ref="P2:R2"/>
    <mergeCell ref="B2:B3"/>
    <mergeCell ref="M2:O2"/>
  </mergeCells>
  <conditionalFormatting sqref="C4:AA36">
    <cfRule type="cellIs" dxfId="1" priority="1" operator="equal">
      <formula>0</formula>
    </cfRule>
  </conditionalFormatting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workbookViewId="0">
      <selection activeCell="A7" sqref="A7"/>
    </sheetView>
  </sheetViews>
  <sheetFormatPr baseColWidth="10" defaultColWidth="9.1796875" defaultRowHeight="14.5" x14ac:dyDescent="0.35"/>
  <cols>
    <col min="1" max="1" width="25.54296875" bestFit="1" customWidth="1"/>
    <col min="2" max="4" width="14.81640625" bestFit="1" customWidth="1"/>
    <col min="5" max="5" width="13.90625" bestFit="1" customWidth="1"/>
  </cols>
  <sheetData>
    <row r="1" spans="1:5" ht="15" customHeight="1" x14ac:dyDescent="0.35">
      <c r="A1" s="2" t="s">
        <v>65</v>
      </c>
      <c r="B1" s="32" t="s">
        <v>98</v>
      </c>
      <c r="C1" s="32" t="s">
        <v>99</v>
      </c>
      <c r="D1" s="32" t="s">
        <v>100</v>
      </c>
      <c r="E1" s="32" t="s">
        <v>101</v>
      </c>
    </row>
    <row r="2" spans="1:5" ht="15.5" x14ac:dyDescent="0.35">
      <c r="A2" s="33" t="s">
        <v>66</v>
      </c>
      <c r="B2" s="34">
        <v>0.26626790453547705</v>
      </c>
      <c r="C2" s="34">
        <v>0.48815782498170801</v>
      </c>
      <c r="D2" s="34">
        <v>0</v>
      </c>
      <c r="E2" s="34">
        <v>0</v>
      </c>
    </row>
    <row r="3" spans="1:5" x14ac:dyDescent="0.35">
      <c r="A3" s="2" t="s">
        <v>67</v>
      </c>
      <c r="B3" s="34">
        <v>0.26337727902097907</v>
      </c>
      <c r="C3" s="34">
        <v>0.48285834487179491</v>
      </c>
      <c r="D3" s="34">
        <v>0</v>
      </c>
      <c r="E3" s="34">
        <v>0</v>
      </c>
    </row>
    <row r="4" spans="1:5" ht="15.5" x14ac:dyDescent="0.35">
      <c r="A4" s="33" t="s">
        <v>96</v>
      </c>
      <c r="B4" s="34">
        <v>0.29972762003658182</v>
      </c>
      <c r="C4" s="34">
        <v>0</v>
      </c>
      <c r="D4" s="34">
        <v>0</v>
      </c>
      <c r="E4" s="34">
        <v>0</v>
      </c>
    </row>
    <row r="5" spans="1:5" x14ac:dyDescent="0.35">
      <c r="A5" s="2" t="s">
        <v>97</v>
      </c>
      <c r="B5" s="34">
        <v>0.2872234798388667</v>
      </c>
      <c r="C5" s="34">
        <v>0</v>
      </c>
      <c r="D5" s="34">
        <v>0</v>
      </c>
      <c r="E5" s="34">
        <v>0</v>
      </c>
    </row>
    <row r="6" spans="1:5" ht="15.5" x14ac:dyDescent="0.35">
      <c r="A6" s="33" t="s">
        <v>68</v>
      </c>
      <c r="B6" s="34">
        <v>0.48227660785515125</v>
      </c>
      <c r="C6" s="34">
        <v>0</v>
      </c>
      <c r="D6" s="34">
        <v>0</v>
      </c>
      <c r="E6" s="34">
        <v>0</v>
      </c>
    </row>
    <row r="7" spans="1:5" x14ac:dyDescent="0.35">
      <c r="A7" s="2" t="s">
        <v>108</v>
      </c>
      <c r="B7" s="34">
        <v>0.32078894883401449</v>
      </c>
      <c r="C7" s="34">
        <v>0.58811307286235992</v>
      </c>
      <c r="D7" s="34">
        <v>0.88216960929353971</v>
      </c>
      <c r="E7" s="34">
        <v>1.7643392185870794</v>
      </c>
    </row>
    <row r="8" spans="1:5" x14ac:dyDescent="0.35">
      <c r="A8" s="2" t="s">
        <v>69</v>
      </c>
      <c r="B8" s="34">
        <v>0.26028252198742302</v>
      </c>
      <c r="C8" s="34">
        <v>0</v>
      </c>
      <c r="D8" s="34">
        <v>0</v>
      </c>
      <c r="E8" s="34">
        <v>0</v>
      </c>
    </row>
    <row r="9" spans="1:5" x14ac:dyDescent="0.35">
      <c r="A9" s="2" t="s">
        <v>94</v>
      </c>
      <c r="B9" s="34">
        <v>0.27140262547314181</v>
      </c>
      <c r="C9" s="34">
        <v>0.49757148003409335</v>
      </c>
      <c r="D9" s="34">
        <v>0</v>
      </c>
      <c r="E9" s="34">
        <v>0</v>
      </c>
    </row>
    <row r="10" spans="1:5" x14ac:dyDescent="0.35">
      <c r="A10" s="2" t="s">
        <v>70</v>
      </c>
      <c r="B10" s="34">
        <v>0.27016492127382641</v>
      </c>
      <c r="C10" s="34">
        <v>0.49530235566868175</v>
      </c>
      <c r="D10" s="34">
        <v>0.74295353350302262</v>
      </c>
      <c r="E10" s="34">
        <v>1.4859070670060452</v>
      </c>
    </row>
    <row r="11" spans="1:5" x14ac:dyDescent="0.35">
      <c r="A11" s="2" t="s">
        <v>71</v>
      </c>
      <c r="B11" s="34">
        <v>0.27497679649081486</v>
      </c>
      <c r="C11" s="34">
        <v>0</v>
      </c>
      <c r="D11" s="34">
        <v>0</v>
      </c>
      <c r="E11" s="34">
        <v>0</v>
      </c>
    </row>
    <row r="12" spans="1:5" x14ac:dyDescent="0.35">
      <c r="A12" s="2" t="s">
        <v>72</v>
      </c>
      <c r="B12" s="34">
        <v>0.27033694605655412</v>
      </c>
      <c r="C12" s="34">
        <v>0.49561773443701579</v>
      </c>
      <c r="D12" s="34">
        <v>0.74342660165552366</v>
      </c>
      <c r="E12" s="34">
        <v>1.4868532033110473</v>
      </c>
    </row>
    <row r="13" spans="1:5" x14ac:dyDescent="0.35">
      <c r="A13" s="2" t="s">
        <v>73</v>
      </c>
      <c r="B13" s="34">
        <v>0.39004517572973652</v>
      </c>
      <c r="C13" s="34">
        <v>0.71508282217118357</v>
      </c>
      <c r="D13" s="34">
        <v>1.0726242332567753</v>
      </c>
      <c r="E13" s="34">
        <v>2.1452484665135505</v>
      </c>
    </row>
    <row r="14" spans="1:5" x14ac:dyDescent="0.35">
      <c r="A14" s="2" t="s">
        <v>74</v>
      </c>
      <c r="B14" s="34">
        <v>0.27414819658748479</v>
      </c>
      <c r="C14" s="34">
        <v>0</v>
      </c>
      <c r="D14" s="34">
        <v>0</v>
      </c>
      <c r="E14" s="34">
        <v>0</v>
      </c>
    </row>
    <row r="15" spans="1:5" ht="15.5" x14ac:dyDescent="0.35">
      <c r="A15" s="33" t="s">
        <v>75</v>
      </c>
      <c r="B15" s="34">
        <v>0.26615662341353147</v>
      </c>
      <c r="C15" s="34">
        <v>0.48795380959147433</v>
      </c>
      <c r="D15" s="34">
        <v>0.73193071438721136</v>
      </c>
      <c r="E15" s="34">
        <v>0</v>
      </c>
    </row>
    <row r="16" spans="1:5" ht="15.5" x14ac:dyDescent="0.35">
      <c r="A16" s="33" t="s">
        <v>76</v>
      </c>
      <c r="B16" s="34">
        <v>0.28357843066802951</v>
      </c>
      <c r="C16" s="34">
        <v>0.5198937895580541</v>
      </c>
      <c r="D16" s="34">
        <v>0.7798406843370812</v>
      </c>
      <c r="E16" s="34">
        <v>0</v>
      </c>
    </row>
    <row r="17" spans="1:5" x14ac:dyDescent="0.35">
      <c r="A17" s="2" t="s">
        <v>77</v>
      </c>
      <c r="B17" s="34">
        <v>0.41746723085724502</v>
      </c>
      <c r="C17" s="34">
        <v>0</v>
      </c>
      <c r="D17" s="34">
        <v>0</v>
      </c>
      <c r="E17" s="34">
        <v>0</v>
      </c>
    </row>
    <row r="18" spans="1:5" x14ac:dyDescent="0.35">
      <c r="A18" s="2" t="s">
        <v>78</v>
      </c>
      <c r="B18" s="34">
        <v>0.26264409142085876</v>
      </c>
      <c r="C18" s="34">
        <v>0</v>
      </c>
      <c r="D18" s="34">
        <v>0</v>
      </c>
      <c r="E18" s="34">
        <v>0</v>
      </c>
    </row>
    <row r="19" spans="1:5" x14ac:dyDescent="0.35">
      <c r="A19" s="2" t="s">
        <v>79</v>
      </c>
      <c r="B19" s="34">
        <v>0.2686264940093756</v>
      </c>
      <c r="C19" s="34">
        <v>0.49248190568385536</v>
      </c>
      <c r="D19" s="34">
        <v>0</v>
      </c>
      <c r="E19" s="34">
        <v>0</v>
      </c>
    </row>
    <row r="20" spans="1:5" x14ac:dyDescent="0.35">
      <c r="A20" s="2" t="s">
        <v>80</v>
      </c>
      <c r="B20" s="34">
        <v>0.27131590613387041</v>
      </c>
      <c r="C20" s="34">
        <v>0</v>
      </c>
      <c r="D20" s="34">
        <v>0</v>
      </c>
      <c r="E20" s="34">
        <v>0</v>
      </c>
    </row>
    <row r="21" spans="1:5" x14ac:dyDescent="0.35">
      <c r="A21" s="2" t="s">
        <v>81</v>
      </c>
      <c r="B21" s="34">
        <v>0.27154728096054886</v>
      </c>
      <c r="C21" s="34">
        <v>0.49783668176100626</v>
      </c>
      <c r="D21" s="34">
        <v>0.74675502264150939</v>
      </c>
      <c r="E21" s="34">
        <v>0</v>
      </c>
    </row>
    <row r="22" spans="1:5" x14ac:dyDescent="0.35">
      <c r="A22" s="2" t="s">
        <v>82</v>
      </c>
      <c r="B22" s="34">
        <v>0.35752772528995214</v>
      </c>
      <c r="C22" s="34">
        <v>0</v>
      </c>
      <c r="D22" s="34">
        <v>0</v>
      </c>
      <c r="E22" s="34">
        <v>0</v>
      </c>
    </row>
    <row r="23" spans="1:5" x14ac:dyDescent="0.35">
      <c r="A23" s="2" t="s">
        <v>95</v>
      </c>
      <c r="B23" s="34">
        <v>0.27701011773498363</v>
      </c>
      <c r="C23" s="34">
        <v>0.5078518825141366</v>
      </c>
      <c r="D23" s="34">
        <v>0.76177782377120484</v>
      </c>
      <c r="E23" s="34">
        <v>1.5235556475424097</v>
      </c>
    </row>
    <row r="24" spans="1:5" x14ac:dyDescent="0.35">
      <c r="A24" s="2" t="s">
        <v>83</v>
      </c>
      <c r="B24" s="34">
        <v>0.27740226970389947</v>
      </c>
      <c r="C24" s="34">
        <v>0.50857082779048246</v>
      </c>
      <c r="D24" s="34">
        <v>0.76285624168572364</v>
      </c>
      <c r="E24" s="34">
        <v>0</v>
      </c>
    </row>
    <row r="25" spans="1:5" x14ac:dyDescent="0.35">
      <c r="A25" s="2" t="s">
        <v>84</v>
      </c>
      <c r="B25" s="34">
        <v>0.26294230415884695</v>
      </c>
      <c r="C25" s="34">
        <v>0.48206089095788607</v>
      </c>
      <c r="D25" s="34">
        <v>0.7230913364368291</v>
      </c>
      <c r="E25" s="34">
        <v>1.4461826728736582</v>
      </c>
    </row>
    <row r="26" spans="1:5" x14ac:dyDescent="0.35">
      <c r="A26" s="2" t="s">
        <v>85</v>
      </c>
      <c r="B26" s="34">
        <v>0.29586353573645868</v>
      </c>
      <c r="C26" s="34">
        <v>0.54241648218350758</v>
      </c>
      <c r="D26" s="34">
        <v>0.81362472327526125</v>
      </c>
      <c r="E26" s="34">
        <v>0</v>
      </c>
    </row>
    <row r="27" spans="1:5" ht="15.5" x14ac:dyDescent="0.35">
      <c r="A27" s="33" t="s">
        <v>86</v>
      </c>
      <c r="B27" s="34">
        <v>0.2820087504362791</v>
      </c>
      <c r="C27" s="34">
        <v>0.51701604246651167</v>
      </c>
      <c r="D27" s="34">
        <v>0</v>
      </c>
      <c r="E27" s="34">
        <v>0</v>
      </c>
    </row>
    <row r="28" spans="1:5" ht="15.5" x14ac:dyDescent="0.35">
      <c r="A28" s="33" t="s">
        <v>93</v>
      </c>
      <c r="B28" s="34">
        <v>0.27682949822765801</v>
      </c>
      <c r="C28" s="34">
        <v>0</v>
      </c>
      <c r="D28" s="34">
        <v>0</v>
      </c>
      <c r="E28" s="34">
        <v>0</v>
      </c>
    </row>
    <row r="29" spans="1:5" ht="15.5" x14ac:dyDescent="0.35">
      <c r="A29" s="33" t="s">
        <v>87</v>
      </c>
      <c r="B29" s="34">
        <v>0.3382981464396958</v>
      </c>
      <c r="C29" s="34">
        <v>0</v>
      </c>
      <c r="D29" s="34">
        <v>0</v>
      </c>
      <c r="E29" s="34">
        <v>0</v>
      </c>
    </row>
    <row r="30" spans="1:5" x14ac:dyDescent="0.35">
      <c r="A30" s="2" t="s">
        <v>88</v>
      </c>
      <c r="B30" s="34">
        <v>0.34771840604571513</v>
      </c>
      <c r="C30" s="34">
        <v>0.63748374441714439</v>
      </c>
      <c r="D30" s="34">
        <v>0</v>
      </c>
      <c r="E30" s="34">
        <v>0</v>
      </c>
    </row>
    <row r="31" spans="1:5" x14ac:dyDescent="0.35">
      <c r="A31" s="2" t="s">
        <v>89</v>
      </c>
      <c r="B31" s="34">
        <v>0.34466040355715183</v>
      </c>
      <c r="C31" s="34">
        <v>0</v>
      </c>
      <c r="D31" s="34">
        <v>0</v>
      </c>
      <c r="E31" s="34">
        <v>0</v>
      </c>
    </row>
    <row r="32" spans="1:5" x14ac:dyDescent="0.35">
      <c r="A32" s="2" t="s">
        <v>90</v>
      </c>
      <c r="B32" s="34">
        <v>0.28014792067424493</v>
      </c>
      <c r="C32" s="34">
        <v>0</v>
      </c>
      <c r="D32" s="34">
        <v>0</v>
      </c>
      <c r="E32" s="34">
        <v>0</v>
      </c>
    </row>
    <row r="33" spans="1:5" x14ac:dyDescent="0.35">
      <c r="A33" s="2" t="s">
        <v>91</v>
      </c>
      <c r="B33" s="34">
        <v>0.2691942346709193</v>
      </c>
      <c r="C33" s="34">
        <v>0.49352276356335201</v>
      </c>
      <c r="D33" s="34">
        <v>0.74028414534502796</v>
      </c>
      <c r="E33" s="34">
        <v>0</v>
      </c>
    </row>
    <row r="34" spans="1:5" ht="15.5" x14ac:dyDescent="0.35">
      <c r="A34" s="33" t="s">
        <v>92</v>
      </c>
      <c r="B34" s="34">
        <v>0.28008631585386579</v>
      </c>
      <c r="C34" s="34">
        <v>0</v>
      </c>
      <c r="D34" s="34">
        <v>0</v>
      </c>
      <c r="E34" s="34">
        <v>0</v>
      </c>
    </row>
    <row r="35" spans="1:5" x14ac:dyDescent="0.35">
      <c r="A35" s="2" t="s">
        <v>102</v>
      </c>
      <c r="B35" s="34">
        <v>1</v>
      </c>
      <c r="C35" s="34">
        <v>1</v>
      </c>
      <c r="D35" s="34">
        <v>1</v>
      </c>
      <c r="E35" s="34">
        <v>1</v>
      </c>
    </row>
    <row r="36" spans="1:5" x14ac:dyDescent="0.35">
      <c r="A36" s="2" t="s">
        <v>103</v>
      </c>
      <c r="B36" s="34">
        <v>1</v>
      </c>
      <c r="C36" s="34">
        <v>1</v>
      </c>
      <c r="D36" s="34">
        <v>1</v>
      </c>
      <c r="E36" s="34">
        <v>1</v>
      </c>
    </row>
    <row r="37" spans="1:5" x14ac:dyDescent="0.35">
      <c r="A37" s="2" t="s">
        <v>106</v>
      </c>
      <c r="B37" s="34">
        <v>1</v>
      </c>
      <c r="C37" s="34">
        <v>1</v>
      </c>
      <c r="D37" s="34">
        <v>1</v>
      </c>
      <c r="E37" s="34">
        <v>1</v>
      </c>
    </row>
    <row r="38" spans="1:5" x14ac:dyDescent="0.35">
      <c r="A38" s="2" t="s">
        <v>104</v>
      </c>
      <c r="B38" s="34">
        <v>1</v>
      </c>
      <c r="C38" s="34">
        <v>1</v>
      </c>
      <c r="D38" s="34">
        <v>1</v>
      </c>
      <c r="E38" s="34">
        <v>1</v>
      </c>
    </row>
    <row r="39" spans="1:5" x14ac:dyDescent="0.35">
      <c r="A39" s="2" t="s">
        <v>107</v>
      </c>
      <c r="B39" s="34">
        <v>1</v>
      </c>
      <c r="C39" s="34">
        <v>1</v>
      </c>
      <c r="D39" s="34">
        <v>1</v>
      </c>
      <c r="E39" s="34">
        <v>1</v>
      </c>
    </row>
    <row r="40" spans="1:5" x14ac:dyDescent="0.35">
      <c r="A40" s="2" t="s">
        <v>105</v>
      </c>
      <c r="B40" s="34">
        <v>1</v>
      </c>
      <c r="C40" s="34">
        <v>1</v>
      </c>
      <c r="D40" s="34">
        <v>1</v>
      </c>
      <c r="E40" s="34">
        <v>1</v>
      </c>
    </row>
  </sheetData>
  <sortState xmlns:xlrd2="http://schemas.microsoft.com/office/spreadsheetml/2017/richdata2" ref="A2:H34">
    <sortCondition ref="A2:A34"/>
  </sortState>
  <conditionalFormatting sqref="B2:E40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4"/>
  <sheetViews>
    <sheetView zoomScale="70" zoomScaleNormal="70" workbookViewId="0">
      <selection activeCell="F8" sqref="F8"/>
    </sheetView>
  </sheetViews>
  <sheetFormatPr baseColWidth="10" defaultColWidth="13.453125" defaultRowHeight="23.5" x14ac:dyDescent="0.35"/>
  <cols>
    <col min="1" max="1" width="13.453125" style="26"/>
    <col min="2" max="2" width="8.26953125" style="27" customWidth="1"/>
    <col min="3" max="3" width="13.453125" style="26"/>
    <col min="4" max="4" width="9.7265625" style="27" customWidth="1"/>
    <col min="5" max="5" width="14.26953125" style="26" customWidth="1"/>
    <col min="6" max="6" width="9" style="27" customWidth="1"/>
    <col min="7" max="7" width="13.453125" style="28"/>
    <col min="8" max="8" width="6.54296875" style="26" customWidth="1"/>
    <col min="9" max="9" width="13.453125" style="28"/>
    <col min="10" max="10" width="6.7265625" style="27" customWidth="1"/>
    <col min="11" max="11" width="11.453125" style="28" customWidth="1"/>
    <col min="12" max="12" width="7.7265625" style="26" customWidth="1"/>
    <col min="13" max="13" width="13.453125" style="28"/>
    <col min="14" max="14" width="10.54296875" style="27" customWidth="1"/>
    <col min="15" max="15" width="13.453125" style="28"/>
    <col min="16" max="16" width="8.453125" style="27" customWidth="1"/>
    <col min="17" max="16384" width="13.453125" style="26"/>
  </cols>
  <sheetData>
    <row r="1" spans="1:16" ht="30" customHeight="1" x14ac:dyDescent="0.35">
      <c r="A1" s="26" t="s">
        <v>57</v>
      </c>
      <c r="B1" s="27">
        <v>1</v>
      </c>
      <c r="C1" s="26" t="s">
        <v>57</v>
      </c>
      <c r="D1" s="27">
        <v>24</v>
      </c>
      <c r="E1" s="26" t="s">
        <v>57</v>
      </c>
      <c r="F1" s="27">
        <v>47</v>
      </c>
      <c r="G1" s="28" t="s">
        <v>58</v>
      </c>
      <c r="H1" s="26">
        <v>16</v>
      </c>
      <c r="I1" s="28" t="s">
        <v>59</v>
      </c>
      <c r="J1" s="27">
        <v>3</v>
      </c>
      <c r="K1" s="28" t="s">
        <v>59</v>
      </c>
      <c r="L1" s="26">
        <v>26</v>
      </c>
      <c r="M1" s="28" t="s">
        <v>60</v>
      </c>
      <c r="N1" s="27">
        <v>13</v>
      </c>
      <c r="O1" s="28" t="s">
        <v>60</v>
      </c>
      <c r="P1" s="27">
        <v>36</v>
      </c>
    </row>
    <row r="2" spans="1:16" ht="30" customHeight="1" x14ac:dyDescent="0.35">
      <c r="A2" s="26" t="s">
        <v>57</v>
      </c>
      <c r="B2" s="27">
        <v>2</v>
      </c>
      <c r="C2" s="26" t="s">
        <v>57</v>
      </c>
      <c r="D2" s="27">
        <v>25</v>
      </c>
      <c r="E2" s="26" t="s">
        <v>57</v>
      </c>
      <c r="F2" s="27">
        <v>48</v>
      </c>
      <c r="G2" s="28" t="s">
        <v>58</v>
      </c>
      <c r="H2" s="26">
        <v>17</v>
      </c>
      <c r="I2" s="28" t="s">
        <v>59</v>
      </c>
      <c r="J2" s="27">
        <v>4</v>
      </c>
      <c r="K2" s="28" t="s">
        <v>59</v>
      </c>
      <c r="L2" s="26">
        <v>27</v>
      </c>
      <c r="M2" s="28" t="s">
        <v>60</v>
      </c>
      <c r="N2" s="27">
        <v>14</v>
      </c>
    </row>
    <row r="3" spans="1:16" ht="30" customHeight="1" x14ac:dyDescent="0.35">
      <c r="A3" s="26" t="s">
        <v>57</v>
      </c>
      <c r="B3" s="27">
        <v>3</v>
      </c>
      <c r="C3" s="26" t="s">
        <v>57</v>
      </c>
      <c r="D3" s="27">
        <v>26</v>
      </c>
      <c r="E3" s="26" t="s">
        <v>57</v>
      </c>
      <c r="F3" s="27">
        <v>49</v>
      </c>
      <c r="G3" s="28" t="s">
        <v>58</v>
      </c>
      <c r="H3" s="26">
        <v>18</v>
      </c>
      <c r="I3" s="28" t="s">
        <v>59</v>
      </c>
      <c r="J3" s="27">
        <v>5</v>
      </c>
      <c r="K3" s="28" t="s">
        <v>59</v>
      </c>
      <c r="L3" s="26">
        <v>28</v>
      </c>
      <c r="M3" s="28" t="s">
        <v>60</v>
      </c>
      <c r="N3" s="27">
        <v>15</v>
      </c>
    </row>
    <row r="4" spans="1:16" ht="30" customHeight="1" x14ac:dyDescent="0.35">
      <c r="A4" s="26" t="s">
        <v>57</v>
      </c>
      <c r="B4" s="27">
        <v>4</v>
      </c>
      <c r="C4" s="26" t="s">
        <v>57</v>
      </c>
      <c r="D4" s="27">
        <v>27</v>
      </c>
      <c r="E4" s="26" t="s">
        <v>57</v>
      </c>
      <c r="F4" s="27">
        <v>50</v>
      </c>
      <c r="G4" s="28" t="s">
        <v>58</v>
      </c>
      <c r="H4" s="26">
        <v>19</v>
      </c>
      <c r="I4" s="28" t="s">
        <v>59</v>
      </c>
      <c r="J4" s="27">
        <v>6</v>
      </c>
      <c r="K4" s="28" t="s">
        <v>59</v>
      </c>
      <c r="L4" s="26">
        <v>29</v>
      </c>
      <c r="M4" s="28" t="s">
        <v>60</v>
      </c>
      <c r="N4" s="27">
        <v>16</v>
      </c>
    </row>
    <row r="5" spans="1:16" ht="30" customHeight="1" x14ac:dyDescent="0.35">
      <c r="A5" s="26" t="s">
        <v>57</v>
      </c>
      <c r="B5" s="27">
        <v>5</v>
      </c>
      <c r="C5" s="26" t="s">
        <v>57</v>
      </c>
      <c r="D5" s="27">
        <v>28</v>
      </c>
      <c r="E5" s="26" t="s">
        <v>57</v>
      </c>
      <c r="F5" s="27">
        <v>51</v>
      </c>
      <c r="G5" s="28" t="s">
        <v>58</v>
      </c>
      <c r="H5" s="26">
        <v>20</v>
      </c>
      <c r="I5" s="28" t="s">
        <v>59</v>
      </c>
      <c r="J5" s="27">
        <v>7</v>
      </c>
      <c r="K5" s="28" t="s">
        <v>59</v>
      </c>
      <c r="L5" s="26">
        <v>30</v>
      </c>
      <c r="M5" s="28" t="s">
        <v>60</v>
      </c>
      <c r="N5" s="27">
        <v>17</v>
      </c>
    </row>
    <row r="6" spans="1:16" ht="30" customHeight="1" x14ac:dyDescent="0.35">
      <c r="A6" s="26" t="s">
        <v>57</v>
      </c>
      <c r="B6" s="27">
        <v>6</v>
      </c>
      <c r="C6" s="26" t="s">
        <v>57</v>
      </c>
      <c r="D6" s="27">
        <v>29</v>
      </c>
      <c r="E6" s="26" t="s">
        <v>57</v>
      </c>
      <c r="F6" s="27">
        <v>52</v>
      </c>
      <c r="G6" s="28" t="s">
        <v>58</v>
      </c>
      <c r="H6" s="26">
        <v>21</v>
      </c>
      <c r="I6" s="28" t="s">
        <v>59</v>
      </c>
      <c r="J6" s="27">
        <v>8</v>
      </c>
      <c r="K6" s="28" t="s">
        <v>59</v>
      </c>
      <c r="L6" s="26">
        <v>31</v>
      </c>
      <c r="M6" s="28" t="s">
        <v>60</v>
      </c>
      <c r="N6" s="27">
        <v>18</v>
      </c>
    </row>
    <row r="7" spans="1:16" ht="30" customHeight="1" x14ac:dyDescent="0.35">
      <c r="A7" s="26" t="s">
        <v>57</v>
      </c>
      <c r="B7" s="27">
        <v>7</v>
      </c>
      <c r="C7" s="26" t="s">
        <v>57</v>
      </c>
      <c r="D7" s="27">
        <v>30</v>
      </c>
      <c r="E7" s="26" t="s">
        <v>57</v>
      </c>
      <c r="F7" s="27">
        <v>53</v>
      </c>
      <c r="G7" s="28" t="s">
        <v>58</v>
      </c>
      <c r="H7" s="26">
        <v>22</v>
      </c>
      <c r="I7" s="28" t="s">
        <v>59</v>
      </c>
      <c r="J7" s="27">
        <v>9</v>
      </c>
      <c r="K7" s="28" t="s">
        <v>59</v>
      </c>
      <c r="L7" s="26">
        <v>32</v>
      </c>
      <c r="M7" s="28" t="s">
        <v>60</v>
      </c>
      <c r="N7" s="27">
        <v>19</v>
      </c>
    </row>
    <row r="8" spans="1:16" ht="30" customHeight="1" x14ac:dyDescent="0.35">
      <c r="A8" s="26" t="s">
        <v>57</v>
      </c>
      <c r="B8" s="27">
        <v>8</v>
      </c>
      <c r="C8" s="26" t="s">
        <v>57</v>
      </c>
      <c r="D8" s="27">
        <v>31</v>
      </c>
      <c r="E8" s="26" t="s">
        <v>57</v>
      </c>
      <c r="F8" s="27">
        <v>54</v>
      </c>
      <c r="G8" s="28" t="s">
        <v>58</v>
      </c>
      <c r="H8" s="26">
        <v>23</v>
      </c>
      <c r="I8" s="28" t="s">
        <v>59</v>
      </c>
      <c r="J8" s="27">
        <v>10</v>
      </c>
      <c r="K8" s="28" t="s">
        <v>59</v>
      </c>
      <c r="L8" s="26">
        <v>33</v>
      </c>
      <c r="M8" s="28" t="s">
        <v>60</v>
      </c>
      <c r="N8" s="27">
        <v>20</v>
      </c>
    </row>
    <row r="9" spans="1:16" ht="30" customHeight="1" x14ac:dyDescent="0.35">
      <c r="A9" s="26" t="s">
        <v>57</v>
      </c>
      <c r="B9" s="27">
        <v>9</v>
      </c>
      <c r="C9" s="26" t="s">
        <v>57</v>
      </c>
      <c r="D9" s="27">
        <v>32</v>
      </c>
      <c r="E9" s="26" t="s">
        <v>58</v>
      </c>
      <c r="F9" s="27">
        <v>1</v>
      </c>
      <c r="G9" s="28" t="s">
        <v>58</v>
      </c>
      <c r="H9" s="26">
        <v>24</v>
      </c>
      <c r="I9" s="28" t="s">
        <v>59</v>
      </c>
      <c r="J9" s="27">
        <v>11</v>
      </c>
      <c r="K9" s="28" t="s">
        <v>59</v>
      </c>
      <c r="L9" s="26">
        <v>34</v>
      </c>
      <c r="M9" s="28" t="s">
        <v>60</v>
      </c>
      <c r="N9" s="27">
        <v>21</v>
      </c>
    </row>
    <row r="10" spans="1:16" ht="30" customHeight="1" x14ac:dyDescent="0.35">
      <c r="A10" s="26" t="s">
        <v>57</v>
      </c>
      <c r="B10" s="27">
        <v>10</v>
      </c>
      <c r="C10" s="26" t="s">
        <v>57</v>
      </c>
      <c r="D10" s="27">
        <v>33</v>
      </c>
      <c r="E10" s="26" t="s">
        <v>58</v>
      </c>
      <c r="F10" s="27">
        <v>2</v>
      </c>
      <c r="G10" s="28" t="s">
        <v>58</v>
      </c>
      <c r="H10" s="26">
        <v>25</v>
      </c>
      <c r="I10" s="28" t="s">
        <v>59</v>
      </c>
      <c r="J10" s="27">
        <v>12</v>
      </c>
      <c r="K10" s="28" t="s">
        <v>59</v>
      </c>
      <c r="L10" s="26">
        <v>35</v>
      </c>
      <c r="M10" s="28" t="s">
        <v>60</v>
      </c>
      <c r="N10" s="27">
        <v>22</v>
      </c>
    </row>
    <row r="11" spans="1:16" ht="30" customHeight="1" x14ac:dyDescent="0.35">
      <c r="A11" s="26" t="s">
        <v>57</v>
      </c>
      <c r="B11" s="27">
        <v>11</v>
      </c>
      <c r="C11" s="26" t="s">
        <v>57</v>
      </c>
      <c r="D11" s="27">
        <v>34</v>
      </c>
      <c r="E11" s="26" t="s">
        <v>58</v>
      </c>
      <c r="F11" s="27">
        <v>3</v>
      </c>
      <c r="G11" s="28" t="s">
        <v>58</v>
      </c>
      <c r="H11" s="26">
        <v>26</v>
      </c>
      <c r="I11" s="28" t="s">
        <v>59</v>
      </c>
      <c r="J11" s="27">
        <v>13</v>
      </c>
      <c r="K11" s="28" t="s">
        <v>59</v>
      </c>
      <c r="L11" s="26">
        <v>36</v>
      </c>
      <c r="M11" s="28" t="s">
        <v>60</v>
      </c>
      <c r="N11" s="27">
        <v>23</v>
      </c>
    </row>
    <row r="12" spans="1:16" ht="30" customHeight="1" x14ac:dyDescent="0.35">
      <c r="A12" s="26" t="s">
        <v>57</v>
      </c>
      <c r="B12" s="27">
        <v>12</v>
      </c>
      <c r="C12" s="26" t="s">
        <v>57</v>
      </c>
      <c r="D12" s="27">
        <v>35</v>
      </c>
      <c r="E12" s="26" t="s">
        <v>58</v>
      </c>
      <c r="F12" s="27">
        <v>4</v>
      </c>
      <c r="G12" s="28" t="s">
        <v>58</v>
      </c>
      <c r="H12" s="26">
        <v>27</v>
      </c>
      <c r="I12" s="28" t="s">
        <v>59</v>
      </c>
      <c r="J12" s="27">
        <v>14</v>
      </c>
      <c r="K12" s="28" t="s">
        <v>60</v>
      </c>
      <c r="L12" s="26">
        <v>1</v>
      </c>
      <c r="M12" s="28" t="s">
        <v>60</v>
      </c>
      <c r="N12" s="27">
        <v>24</v>
      </c>
    </row>
    <row r="13" spans="1:16" ht="30" customHeight="1" x14ac:dyDescent="0.35">
      <c r="A13" s="26" t="s">
        <v>57</v>
      </c>
      <c r="B13" s="27">
        <v>13</v>
      </c>
      <c r="C13" s="26" t="s">
        <v>57</v>
      </c>
      <c r="D13" s="27">
        <v>36</v>
      </c>
      <c r="E13" s="26" t="s">
        <v>58</v>
      </c>
      <c r="F13" s="27">
        <v>5</v>
      </c>
      <c r="G13" s="28" t="s">
        <v>58</v>
      </c>
      <c r="H13" s="26">
        <v>28</v>
      </c>
      <c r="I13" s="28" t="s">
        <v>59</v>
      </c>
      <c r="J13" s="27">
        <v>15</v>
      </c>
      <c r="K13" s="28" t="s">
        <v>60</v>
      </c>
      <c r="L13" s="26">
        <v>2</v>
      </c>
      <c r="M13" s="28" t="s">
        <v>60</v>
      </c>
      <c r="N13" s="27">
        <v>25</v>
      </c>
    </row>
    <row r="14" spans="1:16" ht="30" customHeight="1" x14ac:dyDescent="0.35">
      <c r="A14" s="26" t="s">
        <v>57</v>
      </c>
      <c r="B14" s="27">
        <v>14</v>
      </c>
      <c r="C14" s="26" t="s">
        <v>57</v>
      </c>
      <c r="D14" s="27">
        <v>37</v>
      </c>
      <c r="E14" s="26" t="s">
        <v>58</v>
      </c>
      <c r="F14" s="27">
        <v>6</v>
      </c>
      <c r="G14" s="28" t="s">
        <v>58</v>
      </c>
      <c r="H14" s="26">
        <v>29</v>
      </c>
      <c r="I14" s="28" t="s">
        <v>59</v>
      </c>
      <c r="J14" s="27">
        <v>16</v>
      </c>
      <c r="K14" s="28" t="s">
        <v>60</v>
      </c>
      <c r="L14" s="26">
        <v>3</v>
      </c>
      <c r="M14" s="28" t="s">
        <v>60</v>
      </c>
      <c r="N14" s="27">
        <v>26</v>
      </c>
    </row>
    <row r="15" spans="1:16" ht="30" customHeight="1" x14ac:dyDescent="0.35">
      <c r="A15" s="26" t="s">
        <v>57</v>
      </c>
      <c r="B15" s="27">
        <v>15</v>
      </c>
      <c r="C15" s="26" t="s">
        <v>57</v>
      </c>
      <c r="D15" s="27">
        <v>38</v>
      </c>
      <c r="E15" s="26" t="s">
        <v>58</v>
      </c>
      <c r="F15" s="27">
        <v>7</v>
      </c>
      <c r="G15" s="28" t="s">
        <v>58</v>
      </c>
      <c r="H15" s="26">
        <v>30</v>
      </c>
      <c r="I15" s="28" t="s">
        <v>59</v>
      </c>
      <c r="J15" s="27">
        <v>17</v>
      </c>
      <c r="K15" s="28" t="s">
        <v>60</v>
      </c>
      <c r="L15" s="26">
        <v>4</v>
      </c>
      <c r="M15" s="28" t="s">
        <v>60</v>
      </c>
      <c r="N15" s="27">
        <v>27</v>
      </c>
    </row>
    <row r="16" spans="1:16" ht="30" customHeight="1" x14ac:dyDescent="0.35">
      <c r="A16" s="26" t="s">
        <v>57</v>
      </c>
      <c r="B16" s="27">
        <v>16</v>
      </c>
      <c r="C16" s="26" t="s">
        <v>57</v>
      </c>
      <c r="D16" s="27">
        <v>39</v>
      </c>
      <c r="E16" s="26" t="s">
        <v>58</v>
      </c>
      <c r="F16" s="27">
        <v>8</v>
      </c>
      <c r="G16" s="28" t="s">
        <v>58</v>
      </c>
      <c r="H16" s="26">
        <v>31</v>
      </c>
      <c r="I16" s="28" t="s">
        <v>59</v>
      </c>
      <c r="J16" s="27">
        <v>18</v>
      </c>
      <c r="K16" s="28" t="s">
        <v>60</v>
      </c>
      <c r="L16" s="26">
        <v>5</v>
      </c>
      <c r="M16" s="28" t="s">
        <v>60</v>
      </c>
      <c r="N16" s="27">
        <v>28</v>
      </c>
    </row>
    <row r="17" spans="1:14" ht="30" customHeight="1" x14ac:dyDescent="0.35">
      <c r="A17" s="26" t="s">
        <v>57</v>
      </c>
      <c r="B17" s="27">
        <v>17</v>
      </c>
      <c r="C17" s="26" t="s">
        <v>57</v>
      </c>
      <c r="D17" s="27">
        <v>40</v>
      </c>
      <c r="E17" s="26" t="s">
        <v>58</v>
      </c>
      <c r="F17" s="27">
        <v>9</v>
      </c>
      <c r="G17" s="28" t="s">
        <v>58</v>
      </c>
      <c r="H17" s="26">
        <v>32</v>
      </c>
      <c r="I17" s="28" t="s">
        <v>59</v>
      </c>
      <c r="J17" s="27">
        <v>19</v>
      </c>
      <c r="K17" s="28" t="s">
        <v>60</v>
      </c>
      <c r="L17" s="26">
        <v>6</v>
      </c>
      <c r="M17" s="28" t="s">
        <v>60</v>
      </c>
      <c r="N17" s="27">
        <v>29</v>
      </c>
    </row>
    <row r="18" spans="1:14" ht="30" customHeight="1" x14ac:dyDescent="0.35">
      <c r="A18" s="26" t="s">
        <v>57</v>
      </c>
      <c r="B18" s="27">
        <v>18</v>
      </c>
      <c r="C18" s="26" t="s">
        <v>57</v>
      </c>
      <c r="D18" s="27">
        <v>41</v>
      </c>
      <c r="E18" s="26" t="s">
        <v>58</v>
      </c>
      <c r="F18" s="27">
        <v>10</v>
      </c>
      <c r="G18" s="28" t="s">
        <v>58</v>
      </c>
      <c r="H18" s="26">
        <v>33</v>
      </c>
      <c r="I18" s="28" t="s">
        <v>59</v>
      </c>
      <c r="J18" s="27">
        <v>20</v>
      </c>
      <c r="K18" s="28" t="s">
        <v>60</v>
      </c>
      <c r="L18" s="26">
        <v>7</v>
      </c>
      <c r="M18" s="28" t="s">
        <v>60</v>
      </c>
      <c r="N18" s="27">
        <v>30</v>
      </c>
    </row>
    <row r="19" spans="1:14" ht="30" customHeight="1" x14ac:dyDescent="0.35">
      <c r="A19" s="26" t="s">
        <v>57</v>
      </c>
      <c r="B19" s="27">
        <v>19</v>
      </c>
      <c r="C19" s="26" t="s">
        <v>57</v>
      </c>
      <c r="D19" s="27">
        <v>42</v>
      </c>
      <c r="E19" s="26" t="s">
        <v>58</v>
      </c>
      <c r="F19" s="27">
        <v>11</v>
      </c>
      <c r="G19" s="28" t="s">
        <v>58</v>
      </c>
      <c r="H19" s="26">
        <v>34</v>
      </c>
      <c r="I19" s="28" t="s">
        <v>59</v>
      </c>
      <c r="J19" s="27">
        <v>21</v>
      </c>
      <c r="K19" s="28" t="s">
        <v>60</v>
      </c>
      <c r="L19" s="26">
        <v>8</v>
      </c>
      <c r="M19" s="28" t="s">
        <v>60</v>
      </c>
      <c r="N19" s="27">
        <v>31</v>
      </c>
    </row>
    <row r="20" spans="1:14" ht="30" customHeight="1" x14ac:dyDescent="0.35">
      <c r="A20" s="26" t="s">
        <v>57</v>
      </c>
      <c r="B20" s="27">
        <v>20</v>
      </c>
      <c r="C20" s="26" t="s">
        <v>57</v>
      </c>
      <c r="D20" s="27">
        <v>43</v>
      </c>
      <c r="E20" s="26" t="s">
        <v>58</v>
      </c>
      <c r="F20" s="27">
        <v>12</v>
      </c>
      <c r="G20" s="28" t="s">
        <v>58</v>
      </c>
      <c r="H20" s="26">
        <v>35</v>
      </c>
      <c r="I20" s="28" t="s">
        <v>59</v>
      </c>
      <c r="J20" s="27">
        <v>22</v>
      </c>
      <c r="K20" s="28" t="s">
        <v>60</v>
      </c>
      <c r="L20" s="26">
        <v>9</v>
      </c>
      <c r="M20" s="28" t="s">
        <v>60</v>
      </c>
      <c r="N20" s="27">
        <v>32</v>
      </c>
    </row>
    <row r="21" spans="1:14" ht="30" customHeight="1" x14ac:dyDescent="0.35">
      <c r="A21" s="26" t="s">
        <v>57</v>
      </c>
      <c r="B21" s="27">
        <v>21</v>
      </c>
      <c r="C21" s="26" t="s">
        <v>57</v>
      </c>
      <c r="D21" s="27">
        <v>44</v>
      </c>
      <c r="E21" s="26" t="s">
        <v>58</v>
      </c>
      <c r="F21" s="27">
        <v>13</v>
      </c>
      <c r="G21" s="28" t="s">
        <v>58</v>
      </c>
      <c r="H21" s="26">
        <v>36</v>
      </c>
      <c r="I21" s="28" t="s">
        <v>59</v>
      </c>
      <c r="J21" s="27">
        <v>23</v>
      </c>
      <c r="K21" s="28" t="s">
        <v>60</v>
      </c>
      <c r="L21" s="26">
        <v>10</v>
      </c>
      <c r="M21" s="28" t="s">
        <v>60</v>
      </c>
      <c r="N21" s="27">
        <v>33</v>
      </c>
    </row>
    <row r="22" spans="1:14" ht="30" customHeight="1" x14ac:dyDescent="0.35">
      <c r="A22" s="26" t="s">
        <v>57</v>
      </c>
      <c r="B22" s="27">
        <v>22</v>
      </c>
      <c r="C22" s="26" t="s">
        <v>57</v>
      </c>
      <c r="D22" s="27">
        <v>45</v>
      </c>
      <c r="E22" s="26" t="s">
        <v>58</v>
      </c>
      <c r="F22" s="27">
        <v>14</v>
      </c>
      <c r="G22" s="28" t="s">
        <v>59</v>
      </c>
      <c r="H22" s="26">
        <v>1</v>
      </c>
      <c r="I22" s="28" t="s">
        <v>59</v>
      </c>
      <c r="J22" s="27">
        <v>24</v>
      </c>
      <c r="K22" s="28" t="s">
        <v>60</v>
      </c>
      <c r="L22" s="26">
        <v>11</v>
      </c>
      <c r="M22" s="28" t="s">
        <v>60</v>
      </c>
      <c r="N22" s="27">
        <v>34</v>
      </c>
    </row>
    <row r="23" spans="1:14" ht="30" customHeight="1" x14ac:dyDescent="0.35">
      <c r="A23" s="26" t="s">
        <v>57</v>
      </c>
      <c r="B23" s="27">
        <v>23</v>
      </c>
      <c r="C23" s="26" t="s">
        <v>57</v>
      </c>
      <c r="D23" s="27">
        <v>46</v>
      </c>
      <c r="E23" s="26" t="s">
        <v>58</v>
      </c>
      <c r="F23" s="27">
        <v>15</v>
      </c>
      <c r="G23" s="28" t="s">
        <v>59</v>
      </c>
      <c r="H23" s="26">
        <v>2</v>
      </c>
      <c r="I23" s="28" t="s">
        <v>59</v>
      </c>
      <c r="J23" s="27">
        <v>25</v>
      </c>
      <c r="K23" s="28" t="s">
        <v>60</v>
      </c>
      <c r="L23" s="26">
        <v>12</v>
      </c>
      <c r="M23" s="28" t="s">
        <v>60</v>
      </c>
      <c r="N23" s="27">
        <v>35</v>
      </c>
    </row>
    <row r="24" spans="1:14" ht="30" customHeight="1" x14ac:dyDescent="0.35"/>
    <row r="25" spans="1:14" ht="30" customHeight="1" x14ac:dyDescent="0.35"/>
    <row r="26" spans="1:14" ht="30" customHeight="1" x14ac:dyDescent="0.35"/>
    <row r="27" spans="1:14" ht="30" customHeight="1" x14ac:dyDescent="0.35"/>
    <row r="28" spans="1:14" ht="30" customHeight="1" x14ac:dyDescent="0.35"/>
    <row r="29" spans="1:14" ht="30" customHeight="1" x14ac:dyDescent="0.35"/>
    <row r="30" spans="1:14" ht="30" customHeight="1" x14ac:dyDescent="0.35"/>
    <row r="31" spans="1:14" ht="30" customHeight="1" x14ac:dyDescent="0.35"/>
    <row r="32" spans="1:14" ht="30" customHeight="1" x14ac:dyDescent="0.35"/>
    <row r="33" ht="30" customHeight="1" x14ac:dyDescent="0.35"/>
    <row r="34" ht="30" customHeight="1" x14ac:dyDescent="0.35"/>
    <row r="35" ht="30" customHeight="1" x14ac:dyDescent="0.35"/>
    <row r="36" ht="30" customHeight="1" x14ac:dyDescent="0.35"/>
    <row r="37" ht="30" customHeight="1" x14ac:dyDescent="0.35"/>
    <row r="38" ht="30" customHeight="1" x14ac:dyDescent="0.35"/>
    <row r="39" ht="30" customHeight="1" x14ac:dyDescent="0.35"/>
    <row r="40" ht="30" customHeight="1" x14ac:dyDescent="0.35"/>
    <row r="41" ht="30" customHeight="1" x14ac:dyDescent="0.35"/>
    <row r="42" ht="30" customHeight="1" x14ac:dyDescent="0.35"/>
    <row r="43" ht="30" customHeight="1" x14ac:dyDescent="0.35"/>
    <row r="44" ht="30" customHeight="1" x14ac:dyDescent="0.35"/>
    <row r="45" ht="30" customHeight="1" x14ac:dyDescent="0.35"/>
    <row r="46" ht="30" customHeight="1" x14ac:dyDescent="0.35"/>
    <row r="47" ht="30" customHeight="1" x14ac:dyDescent="0.35"/>
    <row r="48" ht="30" customHeight="1" x14ac:dyDescent="0.35"/>
    <row r="49" ht="30" customHeight="1" x14ac:dyDescent="0.35"/>
    <row r="50" ht="30" customHeight="1" x14ac:dyDescent="0.35"/>
    <row r="51" ht="30" customHeight="1" x14ac:dyDescent="0.35"/>
    <row r="52" ht="30" customHeight="1" x14ac:dyDescent="0.35"/>
    <row r="53" ht="30" customHeight="1" x14ac:dyDescent="0.35"/>
    <row r="54" ht="30" customHeight="1" x14ac:dyDescent="0.3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>
      <selection activeCell="H15" sqref="H15"/>
    </sheetView>
  </sheetViews>
  <sheetFormatPr baseColWidth="10" defaultColWidth="8.7265625" defaultRowHeight="14.5" x14ac:dyDescent="0.35"/>
  <cols>
    <col min="1" max="1" width="26.26953125" bestFit="1" customWidth="1"/>
    <col min="2" max="2" width="16.453125" bestFit="1" customWidth="1"/>
    <col min="3" max="5" width="21.453125" bestFit="1" customWidth="1"/>
  </cols>
  <sheetData>
    <row r="1" spans="1:5" x14ac:dyDescent="0.35">
      <c r="A1" s="30" t="s">
        <v>4</v>
      </c>
      <c r="B1" s="30" t="s">
        <v>62</v>
      </c>
      <c r="C1" s="30" t="s">
        <v>61</v>
      </c>
      <c r="D1" s="30" t="s">
        <v>63</v>
      </c>
      <c r="E1" s="30" t="s">
        <v>64</v>
      </c>
    </row>
    <row r="2" spans="1:5" ht="15.5" x14ac:dyDescent="0.35">
      <c r="A2" s="29" t="s">
        <v>11</v>
      </c>
      <c r="B2" s="30"/>
      <c r="C2" s="30"/>
      <c r="D2" s="30"/>
      <c r="E2" s="30"/>
    </row>
    <row r="3" spans="1:5" x14ac:dyDescent="0.35">
      <c r="A3" s="31" t="s">
        <v>12</v>
      </c>
      <c r="B3" s="30"/>
      <c r="C3" s="30"/>
      <c r="D3" s="30"/>
      <c r="E3" s="30"/>
    </row>
    <row r="4" spans="1:5" ht="15.5" x14ac:dyDescent="0.35">
      <c r="A4" s="29" t="s">
        <v>33</v>
      </c>
      <c r="B4" s="30"/>
      <c r="C4" s="30"/>
      <c r="D4" s="30"/>
      <c r="E4" s="30"/>
    </row>
    <row r="5" spans="1:5" x14ac:dyDescent="0.35">
      <c r="A5" s="31" t="s">
        <v>34</v>
      </c>
      <c r="B5" s="30"/>
      <c r="C5" s="30"/>
      <c r="D5" s="30"/>
      <c r="E5" s="30"/>
    </row>
    <row r="6" spans="1:5" ht="15.5" x14ac:dyDescent="0.35">
      <c r="A6" s="29" t="s">
        <v>32</v>
      </c>
      <c r="B6" s="30"/>
      <c r="C6" s="30"/>
      <c r="D6" s="30"/>
      <c r="E6" s="30"/>
    </row>
    <row r="7" spans="1:5" x14ac:dyDescent="0.35">
      <c r="A7" s="31" t="s">
        <v>27</v>
      </c>
      <c r="B7" s="30"/>
      <c r="C7" s="30"/>
      <c r="D7" s="30"/>
      <c r="E7" s="30"/>
    </row>
    <row r="8" spans="1:5" x14ac:dyDescent="0.35">
      <c r="A8" s="31" t="s">
        <v>13</v>
      </c>
      <c r="B8" s="30"/>
      <c r="C8" s="30"/>
      <c r="D8" s="30"/>
      <c r="E8" s="30"/>
    </row>
    <row r="9" spans="1:5" x14ac:dyDescent="0.35">
      <c r="A9" s="31" t="s">
        <v>21</v>
      </c>
      <c r="B9" s="30"/>
      <c r="C9" s="30"/>
      <c r="D9" s="30"/>
      <c r="E9" s="30"/>
    </row>
    <row r="10" spans="1:5" x14ac:dyDescent="0.35">
      <c r="A10" s="31" t="s">
        <v>56</v>
      </c>
      <c r="B10" s="30"/>
      <c r="C10" s="30"/>
      <c r="D10" s="30"/>
      <c r="E10" s="30"/>
    </row>
    <row r="11" spans="1:5" x14ac:dyDescent="0.35">
      <c r="A11" s="31" t="s">
        <v>25</v>
      </c>
      <c r="B11" s="30"/>
      <c r="C11" s="30"/>
      <c r="D11" s="30"/>
      <c r="E11" s="30"/>
    </row>
    <row r="12" spans="1:5" x14ac:dyDescent="0.35">
      <c r="A12" s="31" t="s">
        <v>8</v>
      </c>
      <c r="B12" s="30"/>
      <c r="C12" s="30"/>
      <c r="D12" s="30"/>
      <c r="E12" s="30"/>
    </row>
    <row r="13" spans="1:5" x14ac:dyDescent="0.35">
      <c r="A13" s="31" t="s">
        <v>28</v>
      </c>
      <c r="B13" s="30"/>
      <c r="C13" s="30"/>
      <c r="D13" s="30"/>
      <c r="E13" s="30"/>
    </row>
    <row r="14" spans="1:5" x14ac:dyDescent="0.35">
      <c r="A14" s="31" t="s">
        <v>35</v>
      </c>
      <c r="B14" s="30"/>
      <c r="C14" s="30"/>
      <c r="D14" s="30"/>
      <c r="E14" s="30"/>
    </row>
    <row r="15" spans="1:5" ht="15.5" x14ac:dyDescent="0.35">
      <c r="A15" s="29" t="s">
        <v>29</v>
      </c>
      <c r="B15" s="30"/>
      <c r="C15" s="30"/>
      <c r="D15" s="30"/>
      <c r="E15" s="30"/>
    </row>
    <row r="16" spans="1:5" ht="15.5" x14ac:dyDescent="0.35">
      <c r="A16" s="29" t="s">
        <v>52</v>
      </c>
      <c r="B16" s="30"/>
      <c r="C16" s="30"/>
      <c r="D16" s="30"/>
      <c r="E16" s="30"/>
    </row>
    <row r="17" spans="1:5" x14ac:dyDescent="0.35">
      <c r="A17" s="31" t="s">
        <v>24</v>
      </c>
      <c r="B17" s="30"/>
      <c r="C17" s="30"/>
      <c r="D17" s="30"/>
      <c r="E17" s="30"/>
    </row>
    <row r="18" spans="1:5" x14ac:dyDescent="0.35">
      <c r="A18" s="31" t="s">
        <v>14</v>
      </c>
      <c r="B18" s="30"/>
      <c r="C18" s="30"/>
      <c r="D18" s="30"/>
      <c r="E18" s="30"/>
    </row>
    <row r="19" spans="1:5" x14ac:dyDescent="0.35">
      <c r="A19" s="31" t="s">
        <v>22</v>
      </c>
      <c r="B19" s="30"/>
      <c r="C19" s="30"/>
      <c r="D19" s="30"/>
      <c r="E19" s="30"/>
    </row>
    <row r="20" spans="1:5" x14ac:dyDescent="0.35">
      <c r="A20" s="31" t="s">
        <v>26</v>
      </c>
      <c r="B20" s="30"/>
      <c r="C20" s="30"/>
      <c r="D20" s="30"/>
      <c r="E20" s="30"/>
    </row>
    <row r="21" spans="1:5" x14ac:dyDescent="0.35">
      <c r="A21" s="31" t="s">
        <v>9</v>
      </c>
      <c r="B21" s="30"/>
      <c r="C21" s="30"/>
      <c r="D21" s="30"/>
      <c r="E21" s="30"/>
    </row>
    <row r="22" spans="1:5" x14ac:dyDescent="0.35">
      <c r="A22" s="31" t="s">
        <v>16</v>
      </c>
      <c r="B22" s="30"/>
      <c r="C22" s="30"/>
      <c r="D22" s="30"/>
      <c r="E22" s="30"/>
    </row>
    <row r="23" spans="1:5" x14ac:dyDescent="0.35">
      <c r="A23" s="31" t="s">
        <v>18</v>
      </c>
      <c r="B23" s="30"/>
      <c r="C23" s="30"/>
      <c r="D23" s="30"/>
      <c r="E23" s="30"/>
    </row>
    <row r="24" spans="1:5" x14ac:dyDescent="0.35">
      <c r="A24" s="31" t="s">
        <v>20</v>
      </c>
      <c r="B24" s="30"/>
      <c r="C24" s="30"/>
      <c r="D24" s="30"/>
      <c r="E24" s="30"/>
    </row>
    <row r="25" spans="1:5" x14ac:dyDescent="0.35">
      <c r="A25" s="31" t="s">
        <v>17</v>
      </c>
      <c r="B25" s="30"/>
      <c r="C25" s="30"/>
      <c r="D25" s="30"/>
      <c r="E25" s="30"/>
    </row>
    <row r="26" spans="1:5" x14ac:dyDescent="0.35">
      <c r="A26" s="31" t="s">
        <v>10</v>
      </c>
      <c r="B26" s="30"/>
      <c r="C26" s="30"/>
      <c r="D26" s="30"/>
      <c r="E26" s="30"/>
    </row>
    <row r="27" spans="1:5" ht="15.5" x14ac:dyDescent="0.35">
      <c r="A27" s="29" t="s">
        <v>30</v>
      </c>
      <c r="B27" s="30"/>
      <c r="C27" s="30"/>
      <c r="D27" s="30"/>
      <c r="E27" s="30"/>
    </row>
    <row r="28" spans="1:5" ht="15.5" x14ac:dyDescent="0.35">
      <c r="A28" s="29" t="s">
        <v>23</v>
      </c>
      <c r="B28" s="30"/>
      <c r="C28" s="30"/>
      <c r="D28" s="30"/>
      <c r="E28" s="30"/>
    </row>
    <row r="29" spans="1:5" ht="15.5" x14ac:dyDescent="0.35">
      <c r="A29" s="29" t="s">
        <v>36</v>
      </c>
      <c r="B29" s="30"/>
      <c r="C29" s="30"/>
      <c r="D29" s="30"/>
      <c r="E29" s="30"/>
    </row>
    <row r="30" spans="1:5" x14ac:dyDescent="0.35">
      <c r="A30" s="31" t="s">
        <v>31</v>
      </c>
      <c r="B30" s="30"/>
      <c r="C30" s="30"/>
      <c r="D30" s="30"/>
      <c r="E30" s="30"/>
    </row>
    <row r="31" spans="1:5" x14ac:dyDescent="0.35">
      <c r="A31" s="31" t="s">
        <v>37</v>
      </c>
      <c r="B31" s="30"/>
      <c r="C31" s="30"/>
      <c r="D31" s="30"/>
      <c r="E31" s="30"/>
    </row>
    <row r="32" spans="1:5" x14ac:dyDescent="0.35">
      <c r="A32" s="31" t="s">
        <v>15</v>
      </c>
      <c r="B32" s="30"/>
      <c r="C32" s="30"/>
      <c r="D32" s="30"/>
      <c r="E32" s="30"/>
    </row>
    <row r="33" spans="1:5" x14ac:dyDescent="0.35">
      <c r="A33" s="31" t="s">
        <v>19</v>
      </c>
      <c r="B33" s="30"/>
      <c r="C33" s="30"/>
      <c r="D33" s="30"/>
      <c r="E33" s="30"/>
    </row>
    <row r="34" spans="1:5" ht="15.5" x14ac:dyDescent="0.35">
      <c r="A34" s="29" t="s">
        <v>53</v>
      </c>
      <c r="B34" s="30"/>
      <c r="C34" s="30"/>
      <c r="D34" s="30"/>
      <c r="E34" s="30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Calculations</vt:lpstr>
      <vt:lpstr>To Mix</vt:lpstr>
      <vt:lpstr>labels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Groves</dc:creator>
  <cp:lastModifiedBy>Markus Bauer</cp:lastModifiedBy>
  <cp:lastPrinted>2014-10-30T16:18:30Z</cp:lastPrinted>
  <dcterms:created xsi:type="dcterms:W3CDTF">2014-10-29T14:44:18Z</dcterms:created>
  <dcterms:modified xsi:type="dcterms:W3CDTF">2025-08-21T21:33:14Z</dcterms:modified>
</cp:coreProperties>
</file>