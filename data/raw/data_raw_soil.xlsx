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marku\Documents\GitHub\2025_greeen_prairie\data\raw\"/>
    </mc:Choice>
  </mc:AlternateContent>
  <xr:revisionPtr revIDLastSave="0" documentId="13_ncr:1_{73FB72B9-44B1-4BDD-9D06-0844D0D63B08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Lux" sheetId="1" r:id="rId1"/>
    <sheet name="SW Station" sheetId="2" r:id="rId2"/>
    <sheet name="NW Station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81" i="1" l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2" i="3"/>
  <c r="H44" i="2"/>
  <c r="H11" i="1" l="1"/>
  <c r="H12" i="1"/>
  <c r="H19" i="1"/>
  <c r="H20" i="1"/>
  <c r="H21" i="1"/>
  <c r="H27" i="1"/>
  <c r="H29" i="1"/>
  <c r="H31" i="1"/>
  <c r="H32" i="1"/>
  <c r="H5" i="1"/>
  <c r="H43" i="1"/>
  <c r="H44" i="1"/>
  <c r="H53" i="1"/>
  <c r="H8" i="1"/>
  <c r="H10" i="1"/>
  <c r="H16" i="2" l="1"/>
  <c r="H17" i="2"/>
  <c r="H19" i="2"/>
  <c r="H20" i="2"/>
  <c r="H22" i="2"/>
  <c r="H23" i="2"/>
  <c r="H29" i="2"/>
  <c r="H30" i="2"/>
  <c r="H34" i="2"/>
  <c r="H35" i="2"/>
  <c r="H37" i="2"/>
  <c r="H39" i="2"/>
  <c r="H40" i="2"/>
  <c r="H41" i="2"/>
  <c r="H42" i="2"/>
  <c r="H45" i="2"/>
  <c r="H46" i="2"/>
  <c r="H47" i="2"/>
  <c r="H53" i="2"/>
  <c r="H54" i="2"/>
  <c r="H57" i="2"/>
  <c r="H12" i="2"/>
  <c r="H18" i="2"/>
  <c r="H24" i="2"/>
  <c r="H25" i="2"/>
  <c r="H26" i="2"/>
  <c r="H28" i="2"/>
  <c r="H31" i="2"/>
  <c r="H32" i="2"/>
  <c r="H33" i="2"/>
  <c r="H36" i="2"/>
  <c r="H38" i="2"/>
  <c r="H43" i="2"/>
  <c r="H48" i="2"/>
  <c r="H50" i="2"/>
  <c r="H52" i="2"/>
  <c r="H56" i="2"/>
  <c r="H58" i="2"/>
  <c r="H59" i="2"/>
  <c r="H60" i="2"/>
  <c r="H9" i="2"/>
  <c r="H15" i="2"/>
  <c r="H14" i="2"/>
  <c r="H21" i="2"/>
  <c r="H27" i="2"/>
  <c r="H49" i="2"/>
  <c r="H51" i="2"/>
  <c r="H55" i="2"/>
  <c r="H61" i="2"/>
  <c r="H2" i="2"/>
  <c r="H4" i="2"/>
  <c r="H5" i="2"/>
  <c r="H6" i="2"/>
  <c r="H7" i="2"/>
  <c r="H8" i="2"/>
  <c r="H10" i="2"/>
  <c r="H11" i="2"/>
  <c r="H13" i="2"/>
  <c r="H3" i="2"/>
  <c r="H30" i="1"/>
  <c r="H9" i="1"/>
  <c r="H3" i="1" l="1"/>
  <c r="H4" i="1"/>
  <c r="H6" i="1"/>
  <c r="H7" i="1"/>
  <c r="H13" i="1"/>
  <c r="H14" i="1"/>
  <c r="H15" i="1"/>
  <c r="H16" i="1"/>
  <c r="H17" i="1"/>
  <c r="H18" i="1"/>
  <c r="H22" i="1"/>
  <c r="H23" i="1"/>
  <c r="H24" i="1"/>
  <c r="H25" i="1"/>
  <c r="H26" i="1"/>
  <c r="H28" i="1"/>
  <c r="H33" i="1"/>
  <c r="H34" i="1"/>
  <c r="H35" i="1"/>
  <c r="H36" i="1"/>
  <c r="H37" i="1"/>
  <c r="H38" i="1"/>
  <c r="H39" i="1"/>
  <c r="H40" i="1"/>
  <c r="H41" i="1"/>
  <c r="H42" i="1"/>
  <c r="H45" i="1"/>
  <c r="H46" i="1"/>
  <c r="H47" i="1"/>
  <c r="H48" i="1"/>
  <c r="H49" i="1"/>
  <c r="H50" i="1"/>
  <c r="H51" i="1"/>
  <c r="H52" i="1"/>
  <c r="H54" i="1"/>
  <c r="H55" i="1"/>
  <c r="H56" i="1"/>
  <c r="H57" i="1"/>
  <c r="H58" i="1"/>
  <c r="H59" i="1"/>
  <c r="H60" i="1"/>
  <c r="H61" i="1"/>
  <c r="H2" i="1"/>
</calcChain>
</file>

<file path=xl/sharedStrings.xml><?xml version="1.0" encoding="utf-8"?>
<sst xmlns="http://schemas.openxmlformats.org/spreadsheetml/2006/main" count="659" uniqueCount="198">
  <si>
    <t>tinfilter_g</t>
  </si>
  <si>
    <t>soil_soaked_g</t>
  </si>
  <si>
    <t>soil_dried_g</t>
  </si>
  <si>
    <t>Notes</t>
  </si>
  <si>
    <t>water_cap</t>
  </si>
  <si>
    <t xml:space="preserve">Duplicate: Confirmed Correct Plot Label </t>
  </si>
  <si>
    <t>new tin</t>
  </si>
  <si>
    <t xml:space="preserve">new tin, confirmed plot 13 </t>
  </si>
  <si>
    <t>Missing</t>
  </si>
  <si>
    <t>new tin, Check previous records, this is likely not Plot 3 because another number in front has been rubbed off, Confirmed Plot 43</t>
  </si>
  <si>
    <t>year</t>
  </si>
  <si>
    <t>id_plot</t>
  </si>
  <si>
    <t>Lux_1</t>
  </si>
  <si>
    <t>Lux_2</t>
  </si>
  <si>
    <t>Lux_3</t>
  </si>
  <si>
    <t>Lux_4</t>
  </si>
  <si>
    <t>Lux_5</t>
  </si>
  <si>
    <t>Lux_6</t>
  </si>
  <si>
    <t>Lux_7</t>
  </si>
  <si>
    <t>Lux_8</t>
  </si>
  <si>
    <t>Lux_9</t>
  </si>
  <si>
    <t>Lux_10</t>
  </si>
  <si>
    <t>Lux_11</t>
  </si>
  <si>
    <t>Lux_12</t>
  </si>
  <si>
    <t>Lux_13</t>
  </si>
  <si>
    <t>Lux_14</t>
  </si>
  <si>
    <t>Lux_15</t>
  </si>
  <si>
    <t>Lux_16</t>
  </si>
  <si>
    <t>Lux_17</t>
  </si>
  <si>
    <t>Lux_18</t>
  </si>
  <si>
    <t>Lux_19</t>
  </si>
  <si>
    <t>Lux_20</t>
  </si>
  <si>
    <t>Lux_21</t>
  </si>
  <si>
    <t>Lux_22</t>
  </si>
  <si>
    <t>Lux_23</t>
  </si>
  <si>
    <t>Lux_24</t>
  </si>
  <si>
    <t>Lux_25</t>
  </si>
  <si>
    <t>Lux_26</t>
  </si>
  <si>
    <t>Lux_27</t>
  </si>
  <si>
    <t>Lux_28</t>
  </si>
  <si>
    <t>Lux_29</t>
  </si>
  <si>
    <t>Lux_30</t>
  </si>
  <si>
    <t>Lux_31</t>
  </si>
  <si>
    <t>Lux_32</t>
  </si>
  <si>
    <t>Lux_33</t>
  </si>
  <si>
    <t>Lux_34</t>
  </si>
  <si>
    <t>Lux_35</t>
  </si>
  <si>
    <t>Lux_36</t>
  </si>
  <si>
    <t>Lux_37</t>
  </si>
  <si>
    <t>Lux_38</t>
  </si>
  <si>
    <t>Lux_39</t>
  </si>
  <si>
    <t>Lux_40</t>
  </si>
  <si>
    <t>Lux_41</t>
  </si>
  <si>
    <t>Lux_42</t>
  </si>
  <si>
    <t>Lux_43</t>
  </si>
  <si>
    <t>Lux_44</t>
  </si>
  <si>
    <t>Lux_45</t>
  </si>
  <si>
    <t>Lux_46</t>
  </si>
  <si>
    <t>Lux_47</t>
  </si>
  <si>
    <t>Lux_48</t>
  </si>
  <si>
    <t>Lux_49</t>
  </si>
  <si>
    <t>Lux_50</t>
  </si>
  <si>
    <t>Lux_51</t>
  </si>
  <si>
    <t>Lux_52</t>
  </si>
  <si>
    <t>Lux_53</t>
  </si>
  <si>
    <t>Lux_54</t>
  </si>
  <si>
    <t>Lux_55</t>
  </si>
  <si>
    <t>Lux_56</t>
  </si>
  <si>
    <t>Lux_57</t>
  </si>
  <si>
    <t>Lux_58</t>
  </si>
  <si>
    <t>Lux_59</t>
  </si>
  <si>
    <t>Lux_60</t>
  </si>
  <si>
    <t>SWS_1</t>
  </si>
  <si>
    <t>SWS_2</t>
  </si>
  <si>
    <t>SWS_3</t>
  </si>
  <si>
    <t>SWS_4</t>
  </si>
  <si>
    <t>SWS_5</t>
  </si>
  <si>
    <t>SWS_6</t>
  </si>
  <si>
    <t>SWS_7</t>
  </si>
  <si>
    <t>SWS_8</t>
  </si>
  <si>
    <t>SWS_9</t>
  </si>
  <si>
    <t>SWS_10</t>
  </si>
  <si>
    <t>SWS_11</t>
  </si>
  <si>
    <t>SWS_12</t>
  </si>
  <si>
    <t>SWS_13</t>
  </si>
  <si>
    <t>SWS_14</t>
  </si>
  <si>
    <t>SWS_15</t>
  </si>
  <si>
    <t>SWS_16</t>
  </si>
  <si>
    <t>SWS_17</t>
  </si>
  <si>
    <t>SWS_18</t>
  </si>
  <si>
    <t>SWS_19</t>
  </si>
  <si>
    <t>SWS_20</t>
  </si>
  <si>
    <t>SWS_21</t>
  </si>
  <si>
    <t>SWS_22</t>
  </si>
  <si>
    <t>SWS_23</t>
  </si>
  <si>
    <t>SWS_24</t>
  </si>
  <si>
    <t>SWS_25</t>
  </si>
  <si>
    <t>SWS_26</t>
  </si>
  <si>
    <t>SWS_27</t>
  </si>
  <si>
    <t>SWS_28</t>
  </si>
  <si>
    <t>SWS_29</t>
  </si>
  <si>
    <t>SWS_30</t>
  </si>
  <si>
    <t>SWS_31</t>
  </si>
  <si>
    <t>SWS_32</t>
  </si>
  <si>
    <t>SWS_33</t>
  </si>
  <si>
    <t>SWS_34</t>
  </si>
  <si>
    <t>SWS_35</t>
  </si>
  <si>
    <t>SWS_36</t>
  </si>
  <si>
    <t>SWS_37</t>
  </si>
  <si>
    <t>SWS_38</t>
  </si>
  <si>
    <t>SWS_39</t>
  </si>
  <si>
    <t>SWS_40</t>
  </si>
  <si>
    <t>SWS_41</t>
  </si>
  <si>
    <t>SWS_42</t>
  </si>
  <si>
    <t>SWS_43</t>
  </si>
  <si>
    <t>SWS_44</t>
  </si>
  <si>
    <t>SWS_45</t>
  </si>
  <si>
    <t>SWS_46</t>
  </si>
  <si>
    <t>SWS_47</t>
  </si>
  <si>
    <t>SWS_48</t>
  </si>
  <si>
    <t>SWS_49</t>
  </si>
  <si>
    <t>SWS_50</t>
  </si>
  <si>
    <t>SWS_51</t>
  </si>
  <si>
    <t>SWS_52</t>
  </si>
  <si>
    <t>SWS_53</t>
  </si>
  <si>
    <t>SWS_54</t>
  </si>
  <si>
    <t>SWS_55</t>
  </si>
  <si>
    <t>SWS_56</t>
  </si>
  <si>
    <t>SWS_57</t>
  </si>
  <si>
    <t>SWS_58</t>
  </si>
  <si>
    <t>SWS_59</t>
  </si>
  <si>
    <t>SWS_60</t>
  </si>
  <si>
    <t>NWS_1</t>
  </si>
  <si>
    <t>NWS_2</t>
  </si>
  <si>
    <t>NWS_3</t>
  </si>
  <si>
    <t>NWS_4</t>
  </si>
  <si>
    <t>NWS_5</t>
  </si>
  <si>
    <t>NWS_6</t>
  </si>
  <si>
    <t>NWS_7</t>
  </si>
  <si>
    <t>NWS_8</t>
  </si>
  <si>
    <t>NWS_9</t>
  </si>
  <si>
    <t>NWS_10</t>
  </si>
  <si>
    <t>NWS_11</t>
  </si>
  <si>
    <t>NWS_12</t>
  </si>
  <si>
    <t>NWS_13</t>
  </si>
  <si>
    <t>NWS_14</t>
  </si>
  <si>
    <t>NWS_15</t>
  </si>
  <si>
    <t>NWS_16</t>
  </si>
  <si>
    <t>NWS_17</t>
  </si>
  <si>
    <t>NWS_19</t>
  </si>
  <si>
    <t>NWS_20</t>
  </si>
  <si>
    <t>NWS_21</t>
  </si>
  <si>
    <t>NWS_22</t>
  </si>
  <si>
    <t>NWS_23</t>
  </si>
  <si>
    <t>NWS_24</t>
  </si>
  <si>
    <t>NWS_25</t>
  </si>
  <si>
    <t>NWS_26</t>
  </si>
  <si>
    <t>NWS_27</t>
  </si>
  <si>
    <t>NWS_28</t>
  </si>
  <si>
    <t>NWS_29</t>
  </si>
  <si>
    <t>NWS_30</t>
  </si>
  <si>
    <t>NWS_31</t>
  </si>
  <si>
    <t>NWS_32</t>
  </si>
  <si>
    <t>NWS_33</t>
  </si>
  <si>
    <t>NWS_34</t>
  </si>
  <si>
    <t>NWS_35</t>
  </si>
  <si>
    <t>NWS_36</t>
  </si>
  <si>
    <t>NWS_37</t>
  </si>
  <si>
    <t>NWS_38</t>
  </si>
  <si>
    <t>NWS_39</t>
  </si>
  <si>
    <t>NWS_40</t>
  </si>
  <si>
    <t>NWS_41</t>
  </si>
  <si>
    <t>NWS_42</t>
  </si>
  <si>
    <t>NWS_43</t>
  </si>
  <si>
    <t>NWS_45</t>
  </si>
  <si>
    <t>NWS_46</t>
  </si>
  <si>
    <t>NWS_47</t>
  </si>
  <si>
    <t>NWS_48</t>
  </si>
  <si>
    <t>NWS_49</t>
  </si>
  <si>
    <t>NWS_50</t>
  </si>
  <si>
    <t>NWS_51</t>
  </si>
  <si>
    <t>NWS_52</t>
  </si>
  <si>
    <t>NWS_53</t>
  </si>
  <si>
    <t>NWS_54</t>
  </si>
  <si>
    <t>NWS_55</t>
  </si>
  <si>
    <t>NWS_56</t>
  </si>
  <si>
    <t>NWS_57</t>
  </si>
  <si>
    <t>NWS_58</t>
  </si>
  <si>
    <t>NWS_59</t>
  </si>
  <si>
    <t>NWS_60</t>
  </si>
  <si>
    <t>id_tin</t>
  </si>
  <si>
    <t>NA</t>
  </si>
  <si>
    <t>NWS_44</t>
  </si>
  <si>
    <t>NWS_18</t>
  </si>
  <si>
    <t>site</t>
  </si>
  <si>
    <t>Lux Arbor</t>
  </si>
  <si>
    <t>SW Station</t>
  </si>
  <si>
    <t>NW Station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</si>
</sst>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0" xfId="0" applyFill="1"/>
    <xf numFmtId="0" fontId="1" fillId="0" borderId="0" xfId="0" applyFont="1"/>
    <xf numFmtId="164" fontId="1" fillId="0" borderId="0" xfId="0" applyNumberFormat="1" applyFont="1" applyAlignment="1">
      <alignment horizontal="right"/>
    </xf>
    <xf numFmtId="164" fontId="0" fillId="0" borderId="0" xfId="0" applyNumberFormat="1"/>
    <xf numFmtId="164" fontId="1" fillId="0" borderId="0" xfId="0" applyNumberFormat="1" applyFont="1" applyAlignment="1">
      <alignment horizontal="left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81"/>
  <sheetViews>
    <sheetView tabSelected="1" workbookViewId="0">
      <selection activeCell="A122" sqref="A122:I181"/>
    </sheetView>
  </sheetViews>
  <sheetFormatPr baseColWidth="10" defaultColWidth="8.7265625" defaultRowHeight="14.5" x14ac:dyDescent="0.35"/>
  <cols>
    <col min="1" max="1" width="14.7265625" bestFit="1" customWidth="1"/>
    <col min="2" max="2" width="14.7265625" customWidth="1"/>
    <col min="3" max="3" width="15" customWidth="1"/>
    <col min="5" max="5" width="9.81640625" bestFit="1" customWidth="1"/>
    <col min="6" max="6" width="13.54296875" bestFit="1" customWidth="1"/>
    <col min="7" max="7" width="11.81640625" bestFit="1" customWidth="1"/>
    <col min="8" max="8" width="11.81640625" customWidth="1"/>
    <col min="9" max="9" width="37.1796875" bestFit="1" customWidth="1"/>
  </cols>
  <sheetData>
    <row r="1" spans="1:13" x14ac:dyDescent="0.35">
      <c r="A1" s="2" t="s">
        <v>11</v>
      </c>
      <c r="B1" s="2" t="s">
        <v>194</v>
      </c>
      <c r="C1" s="2" t="s">
        <v>10</v>
      </c>
      <c r="D1" s="2" t="s">
        <v>190</v>
      </c>
      <c r="E1" s="3" t="s">
        <v>0</v>
      </c>
      <c r="F1" s="3" t="s">
        <v>1</v>
      </c>
      <c r="G1" s="3" t="s">
        <v>2</v>
      </c>
      <c r="H1" s="3" t="s">
        <v>4</v>
      </c>
      <c r="I1" s="3" t="s">
        <v>3</v>
      </c>
      <c r="K1" s="2"/>
      <c r="L1" s="2"/>
      <c r="M1" s="2"/>
    </row>
    <row r="2" spans="1:13" x14ac:dyDescent="0.35">
      <c r="A2" t="s">
        <v>12</v>
      </c>
      <c r="B2" t="s">
        <v>195</v>
      </c>
      <c r="C2">
        <v>2018</v>
      </c>
      <c r="D2">
        <v>62</v>
      </c>
      <c r="E2">
        <v>23.87</v>
      </c>
      <c r="F2">
        <v>216.08</v>
      </c>
      <c r="G2">
        <v>148.06</v>
      </c>
      <c r="H2" s="4">
        <f t="shared" ref="H2:H33" si="0">((F2-E2)-(G2-E2))/(G2-E2)</f>
        <v>0.54770915532651587</v>
      </c>
      <c r="K2" s="4"/>
      <c r="L2" s="4"/>
      <c r="M2" s="4"/>
    </row>
    <row r="3" spans="1:13" x14ac:dyDescent="0.35">
      <c r="A3" t="s">
        <v>13</v>
      </c>
      <c r="B3" t="s">
        <v>195</v>
      </c>
      <c r="C3">
        <v>2018</v>
      </c>
      <c r="D3">
        <v>71</v>
      </c>
      <c r="E3">
        <v>24.76</v>
      </c>
      <c r="F3">
        <v>188.66</v>
      </c>
      <c r="G3">
        <v>127.25</v>
      </c>
      <c r="H3" s="4">
        <f t="shared" si="0"/>
        <v>0.59918040784466786</v>
      </c>
    </row>
    <row r="4" spans="1:13" x14ac:dyDescent="0.35">
      <c r="A4" t="s">
        <v>14</v>
      </c>
      <c r="B4" t="s">
        <v>195</v>
      </c>
      <c r="C4">
        <v>2018</v>
      </c>
      <c r="D4">
        <v>60</v>
      </c>
      <c r="E4">
        <v>24.23</v>
      </c>
      <c r="F4">
        <v>160.82</v>
      </c>
      <c r="G4">
        <v>108.15</v>
      </c>
      <c r="H4" s="4">
        <f t="shared" si="0"/>
        <v>0.62762154432793138</v>
      </c>
    </row>
    <row r="5" spans="1:13" x14ac:dyDescent="0.35">
      <c r="A5" t="s">
        <v>15</v>
      </c>
      <c r="B5" t="s">
        <v>195</v>
      </c>
      <c r="C5">
        <v>2018</v>
      </c>
      <c r="D5">
        <v>1</v>
      </c>
      <c r="E5">
        <v>23.94</v>
      </c>
      <c r="F5">
        <v>176.17</v>
      </c>
      <c r="G5">
        <v>118.93</v>
      </c>
      <c r="H5" s="4">
        <f t="shared" si="0"/>
        <v>0.60258974628908279</v>
      </c>
    </row>
    <row r="6" spans="1:13" x14ac:dyDescent="0.35">
      <c r="A6" t="s">
        <v>16</v>
      </c>
      <c r="B6" t="s">
        <v>195</v>
      </c>
      <c r="C6">
        <v>2018</v>
      </c>
      <c r="D6">
        <v>65</v>
      </c>
      <c r="E6">
        <v>23.38</v>
      </c>
      <c r="F6">
        <v>181.66</v>
      </c>
      <c r="G6">
        <v>121.82</v>
      </c>
      <c r="H6" s="4">
        <f t="shared" si="0"/>
        <v>0.6078829744006502</v>
      </c>
    </row>
    <row r="7" spans="1:13" x14ac:dyDescent="0.35">
      <c r="A7" t="s">
        <v>17</v>
      </c>
      <c r="B7" t="s">
        <v>195</v>
      </c>
      <c r="C7">
        <v>2018</v>
      </c>
      <c r="D7">
        <v>41</v>
      </c>
      <c r="E7">
        <v>23.91</v>
      </c>
      <c r="F7">
        <v>205.14</v>
      </c>
      <c r="G7">
        <v>141.46</v>
      </c>
      <c r="H7" s="4">
        <f t="shared" si="0"/>
        <v>0.54172692471288786</v>
      </c>
    </row>
    <row r="8" spans="1:13" x14ac:dyDescent="0.35">
      <c r="A8" t="s">
        <v>18</v>
      </c>
      <c r="B8" t="s">
        <v>195</v>
      </c>
      <c r="C8">
        <v>2018</v>
      </c>
      <c r="D8">
        <v>43</v>
      </c>
      <c r="E8">
        <v>24.31</v>
      </c>
      <c r="F8">
        <v>207.65</v>
      </c>
      <c r="G8">
        <v>148.56</v>
      </c>
      <c r="H8" s="4">
        <f t="shared" si="0"/>
        <v>0.4755734406438632</v>
      </c>
    </row>
    <row r="9" spans="1:13" x14ac:dyDescent="0.35">
      <c r="A9" t="s">
        <v>19</v>
      </c>
      <c r="B9" t="s">
        <v>195</v>
      </c>
      <c r="C9">
        <v>2018</v>
      </c>
      <c r="D9">
        <v>68</v>
      </c>
      <c r="E9">
        <v>24.06</v>
      </c>
      <c r="F9">
        <v>186.56</v>
      </c>
      <c r="G9">
        <v>132.52000000000001</v>
      </c>
      <c r="H9" s="4">
        <f t="shared" si="0"/>
        <v>0.49824820210215737</v>
      </c>
    </row>
    <row r="10" spans="1:13" x14ac:dyDescent="0.35">
      <c r="A10" t="s">
        <v>20</v>
      </c>
      <c r="B10" t="s">
        <v>195</v>
      </c>
      <c r="C10">
        <v>2018</v>
      </c>
      <c r="D10">
        <v>40</v>
      </c>
      <c r="E10">
        <v>23.88</v>
      </c>
      <c r="F10">
        <v>209.44</v>
      </c>
      <c r="G10">
        <v>146.9</v>
      </c>
      <c r="H10" s="4">
        <f t="shared" si="0"/>
        <v>0.50837262233783109</v>
      </c>
    </row>
    <row r="11" spans="1:13" x14ac:dyDescent="0.35">
      <c r="A11" t="s">
        <v>21</v>
      </c>
      <c r="B11" t="s">
        <v>195</v>
      </c>
      <c r="C11">
        <v>2018</v>
      </c>
      <c r="D11">
        <v>59</v>
      </c>
      <c r="E11">
        <v>22.57</v>
      </c>
      <c r="F11">
        <v>198.73</v>
      </c>
      <c r="G11">
        <v>141.82</v>
      </c>
      <c r="H11" s="4">
        <f t="shared" si="0"/>
        <v>0.4772327044025157</v>
      </c>
    </row>
    <row r="12" spans="1:13" x14ac:dyDescent="0.35">
      <c r="A12" t="s">
        <v>22</v>
      </c>
      <c r="B12" t="s">
        <v>195</v>
      </c>
      <c r="C12">
        <v>2018</v>
      </c>
      <c r="D12">
        <v>47</v>
      </c>
      <c r="E12">
        <v>23.08</v>
      </c>
      <c r="F12">
        <v>208.4</v>
      </c>
      <c r="G12">
        <v>148.53</v>
      </c>
      <c r="H12" s="4">
        <f t="shared" si="0"/>
        <v>0.47724192905540047</v>
      </c>
      <c r="I12" s="4"/>
    </row>
    <row r="13" spans="1:13" x14ac:dyDescent="0.35">
      <c r="A13" t="s">
        <v>23</v>
      </c>
      <c r="B13" t="s">
        <v>195</v>
      </c>
      <c r="C13">
        <v>2018</v>
      </c>
      <c r="D13">
        <v>51</v>
      </c>
      <c r="E13">
        <v>24.44</v>
      </c>
      <c r="F13">
        <v>203.49</v>
      </c>
      <c r="G13">
        <v>139.77000000000001</v>
      </c>
      <c r="H13" s="4">
        <f t="shared" si="0"/>
        <v>0.5525015173848955</v>
      </c>
    </row>
    <row r="14" spans="1:13" x14ac:dyDescent="0.35">
      <c r="A14" t="s">
        <v>24</v>
      </c>
      <c r="B14" t="s">
        <v>195</v>
      </c>
      <c r="C14">
        <v>2018</v>
      </c>
      <c r="D14">
        <v>53</v>
      </c>
      <c r="E14">
        <v>23.14</v>
      </c>
      <c r="F14">
        <v>200.42</v>
      </c>
      <c r="G14">
        <v>143.6</v>
      </c>
      <c r="H14" s="4">
        <f t="shared" si="0"/>
        <v>0.47169184791632063</v>
      </c>
    </row>
    <row r="15" spans="1:13" x14ac:dyDescent="0.35">
      <c r="A15" t="s">
        <v>25</v>
      </c>
      <c r="B15" t="s">
        <v>195</v>
      </c>
      <c r="C15">
        <v>2018</v>
      </c>
      <c r="D15">
        <v>33</v>
      </c>
      <c r="E15">
        <v>25.32</v>
      </c>
      <c r="F15">
        <v>171.67</v>
      </c>
      <c r="G15">
        <v>114.13</v>
      </c>
      <c r="H15" s="4">
        <f t="shared" si="0"/>
        <v>0.64790001125999319</v>
      </c>
    </row>
    <row r="16" spans="1:13" x14ac:dyDescent="0.35">
      <c r="A16" t="s">
        <v>26</v>
      </c>
      <c r="B16" t="s">
        <v>195</v>
      </c>
      <c r="C16">
        <v>2018</v>
      </c>
      <c r="D16">
        <v>9</v>
      </c>
      <c r="E16">
        <v>23.86</v>
      </c>
      <c r="F16">
        <v>169.9</v>
      </c>
      <c r="G16">
        <v>123.08</v>
      </c>
      <c r="H16" s="4">
        <f t="shared" si="0"/>
        <v>0.47188066921991556</v>
      </c>
    </row>
    <row r="17" spans="1:9" x14ac:dyDescent="0.35">
      <c r="A17" t="s">
        <v>27</v>
      </c>
      <c r="B17" t="s">
        <v>195</v>
      </c>
      <c r="C17">
        <v>2018</v>
      </c>
      <c r="D17">
        <v>36</v>
      </c>
      <c r="E17">
        <v>24.09</v>
      </c>
      <c r="F17">
        <v>202.81</v>
      </c>
      <c r="G17">
        <v>144.28</v>
      </c>
      <c r="H17" s="4">
        <f t="shared" si="0"/>
        <v>0.48697894999583996</v>
      </c>
    </row>
    <row r="18" spans="1:9" x14ac:dyDescent="0.35">
      <c r="A18" t="s">
        <v>28</v>
      </c>
      <c r="B18" t="s">
        <v>195</v>
      </c>
      <c r="C18">
        <v>2018</v>
      </c>
      <c r="D18">
        <v>20</v>
      </c>
      <c r="E18">
        <v>23.24</v>
      </c>
      <c r="F18">
        <v>193.46</v>
      </c>
      <c r="G18">
        <v>137.03</v>
      </c>
      <c r="H18" s="4">
        <f t="shared" si="0"/>
        <v>0.49591352491431573</v>
      </c>
    </row>
    <row r="19" spans="1:9" x14ac:dyDescent="0.35">
      <c r="A19" t="s">
        <v>29</v>
      </c>
      <c r="B19" t="s">
        <v>195</v>
      </c>
      <c r="C19">
        <v>2018</v>
      </c>
      <c r="D19">
        <v>61</v>
      </c>
      <c r="E19">
        <v>27.38</v>
      </c>
      <c r="F19">
        <v>204.24</v>
      </c>
      <c r="G19">
        <v>141.16999999999999</v>
      </c>
      <c r="H19" s="4">
        <f t="shared" si="0"/>
        <v>0.55426663151419309</v>
      </c>
      <c r="I19" s="4"/>
    </row>
    <row r="20" spans="1:9" x14ac:dyDescent="0.35">
      <c r="A20" t="s">
        <v>30</v>
      </c>
      <c r="B20" t="s">
        <v>195</v>
      </c>
      <c r="C20">
        <v>2018</v>
      </c>
      <c r="D20">
        <v>51</v>
      </c>
      <c r="E20">
        <v>24.26</v>
      </c>
      <c r="F20">
        <v>217.47</v>
      </c>
      <c r="G20">
        <v>156.57</v>
      </c>
      <c r="H20" s="4">
        <f t="shared" si="0"/>
        <v>0.46028266948832292</v>
      </c>
    </row>
    <row r="21" spans="1:9" x14ac:dyDescent="0.35">
      <c r="A21" t="s">
        <v>31</v>
      </c>
      <c r="B21" t="s">
        <v>195</v>
      </c>
      <c r="C21">
        <v>2018</v>
      </c>
      <c r="D21">
        <v>63</v>
      </c>
      <c r="E21">
        <v>27.58</v>
      </c>
      <c r="F21">
        <v>182.11</v>
      </c>
      <c r="G21">
        <v>121.4</v>
      </c>
      <c r="H21" s="4">
        <f t="shared" si="0"/>
        <v>0.64709017267107249</v>
      </c>
    </row>
    <row r="22" spans="1:9" x14ac:dyDescent="0.35">
      <c r="A22" t="s">
        <v>32</v>
      </c>
      <c r="B22" t="s">
        <v>195</v>
      </c>
      <c r="C22">
        <v>2018</v>
      </c>
      <c r="D22">
        <v>42</v>
      </c>
      <c r="E22">
        <v>25.1</v>
      </c>
      <c r="F22">
        <v>192.52</v>
      </c>
      <c r="G22">
        <v>135.63999999999999</v>
      </c>
      <c r="H22" s="4">
        <f t="shared" si="0"/>
        <v>0.51456486339786522</v>
      </c>
    </row>
    <row r="23" spans="1:9" x14ac:dyDescent="0.35">
      <c r="A23" t="s">
        <v>33</v>
      </c>
      <c r="B23" t="s">
        <v>195</v>
      </c>
      <c r="C23">
        <v>2018</v>
      </c>
      <c r="D23">
        <v>48</v>
      </c>
      <c r="E23">
        <v>24.38</v>
      </c>
      <c r="F23">
        <v>212.01</v>
      </c>
      <c r="G23">
        <v>148.38</v>
      </c>
      <c r="H23" s="4">
        <f t="shared" si="0"/>
        <v>0.5131451612903225</v>
      </c>
    </row>
    <row r="24" spans="1:9" x14ac:dyDescent="0.35">
      <c r="A24" s="1" t="s">
        <v>34</v>
      </c>
      <c r="B24" t="s">
        <v>195</v>
      </c>
      <c r="C24">
        <v>2018</v>
      </c>
      <c r="D24">
        <v>40</v>
      </c>
      <c r="E24">
        <v>24.07</v>
      </c>
      <c r="F24">
        <v>152.85</v>
      </c>
      <c r="G24">
        <v>109.21</v>
      </c>
      <c r="H24" s="4">
        <f t="shared" si="0"/>
        <v>0.51256753582335002</v>
      </c>
      <c r="I24" t="s">
        <v>5</v>
      </c>
    </row>
    <row r="25" spans="1:9" x14ac:dyDescent="0.35">
      <c r="A25" t="s">
        <v>35</v>
      </c>
      <c r="B25" t="s">
        <v>195</v>
      </c>
      <c r="C25">
        <v>2018</v>
      </c>
      <c r="D25">
        <v>12</v>
      </c>
      <c r="E25">
        <v>24.98</v>
      </c>
      <c r="F25">
        <v>185.44</v>
      </c>
      <c r="G25">
        <v>130.66</v>
      </c>
      <c r="H25" s="4">
        <f t="shared" si="0"/>
        <v>0.51835730507191535</v>
      </c>
    </row>
    <row r="26" spans="1:9" x14ac:dyDescent="0.35">
      <c r="A26" t="s">
        <v>36</v>
      </c>
      <c r="B26" t="s">
        <v>195</v>
      </c>
      <c r="C26">
        <v>2018</v>
      </c>
      <c r="D26">
        <v>63</v>
      </c>
      <c r="E26">
        <v>23.45</v>
      </c>
      <c r="F26">
        <v>199.78</v>
      </c>
      <c r="G26">
        <v>143.63</v>
      </c>
      <c r="H26" s="4">
        <f t="shared" si="0"/>
        <v>0.46721584290231338</v>
      </c>
    </row>
    <row r="27" spans="1:9" x14ac:dyDescent="0.35">
      <c r="A27" t="s">
        <v>37</v>
      </c>
      <c r="B27" t="s">
        <v>195</v>
      </c>
      <c r="C27">
        <v>2018</v>
      </c>
      <c r="D27">
        <v>69</v>
      </c>
      <c r="E27">
        <v>24.36</v>
      </c>
      <c r="F27">
        <v>173.15</v>
      </c>
      <c r="G27">
        <v>114.85</v>
      </c>
      <c r="H27" s="4">
        <f t="shared" si="0"/>
        <v>0.64427008509227568</v>
      </c>
    </row>
    <row r="28" spans="1:9" x14ac:dyDescent="0.35">
      <c r="A28" t="s">
        <v>38</v>
      </c>
      <c r="B28" t="s">
        <v>195</v>
      </c>
      <c r="C28">
        <v>2018</v>
      </c>
      <c r="D28">
        <v>46</v>
      </c>
      <c r="E28">
        <v>23.82</v>
      </c>
      <c r="F28">
        <v>188</v>
      </c>
      <c r="G28">
        <v>132.07</v>
      </c>
      <c r="H28" s="4">
        <f t="shared" si="0"/>
        <v>0.51667436489607399</v>
      </c>
    </row>
    <row r="29" spans="1:9" x14ac:dyDescent="0.35">
      <c r="A29" t="s">
        <v>39</v>
      </c>
      <c r="B29" t="s">
        <v>195</v>
      </c>
      <c r="C29">
        <v>2018</v>
      </c>
      <c r="D29">
        <v>31</v>
      </c>
      <c r="E29">
        <v>27.87</v>
      </c>
      <c r="F29">
        <v>217.16</v>
      </c>
      <c r="G29">
        <v>157.18</v>
      </c>
      <c r="H29" s="4">
        <f t="shared" si="0"/>
        <v>0.46384657025752057</v>
      </c>
    </row>
    <row r="30" spans="1:9" x14ac:dyDescent="0.35">
      <c r="A30" t="s">
        <v>40</v>
      </c>
      <c r="B30" t="s">
        <v>195</v>
      </c>
      <c r="C30">
        <v>2018</v>
      </c>
      <c r="D30">
        <v>33</v>
      </c>
      <c r="E30">
        <v>25.04</v>
      </c>
      <c r="F30">
        <v>189.83</v>
      </c>
      <c r="G30">
        <v>135.69</v>
      </c>
      <c r="H30" s="4">
        <f t="shared" si="0"/>
        <v>0.48929055580659747</v>
      </c>
    </row>
    <row r="31" spans="1:9" x14ac:dyDescent="0.35">
      <c r="A31" t="s">
        <v>41</v>
      </c>
      <c r="B31" t="s">
        <v>195</v>
      </c>
      <c r="C31">
        <v>2018</v>
      </c>
      <c r="D31">
        <v>18</v>
      </c>
      <c r="E31">
        <v>22.6</v>
      </c>
      <c r="F31">
        <v>193.59</v>
      </c>
      <c r="G31">
        <v>136.56</v>
      </c>
      <c r="H31" s="4">
        <f t="shared" si="0"/>
        <v>0.50043875043875041</v>
      </c>
    </row>
    <row r="32" spans="1:9" x14ac:dyDescent="0.35">
      <c r="A32" t="s">
        <v>42</v>
      </c>
      <c r="B32" t="s">
        <v>195</v>
      </c>
      <c r="C32">
        <v>2018</v>
      </c>
      <c r="D32">
        <v>57</v>
      </c>
      <c r="E32">
        <v>23.29</v>
      </c>
      <c r="F32">
        <v>200.16</v>
      </c>
      <c r="G32">
        <v>142.93</v>
      </c>
      <c r="H32" s="4">
        <f t="shared" si="0"/>
        <v>0.47835172183216301</v>
      </c>
    </row>
    <row r="33" spans="1:8" x14ac:dyDescent="0.35">
      <c r="A33" t="s">
        <v>43</v>
      </c>
      <c r="B33" t="s">
        <v>195</v>
      </c>
      <c r="C33">
        <v>2018</v>
      </c>
      <c r="D33">
        <v>21</v>
      </c>
      <c r="E33">
        <v>23.37</v>
      </c>
      <c r="F33">
        <v>178.47</v>
      </c>
      <c r="G33">
        <v>123.46</v>
      </c>
      <c r="H33" s="4">
        <f t="shared" si="0"/>
        <v>0.54960535518033782</v>
      </c>
    </row>
    <row r="34" spans="1:8" x14ac:dyDescent="0.35">
      <c r="A34" t="s">
        <v>44</v>
      </c>
      <c r="B34" t="s">
        <v>195</v>
      </c>
      <c r="C34">
        <v>2018</v>
      </c>
      <c r="D34">
        <v>64</v>
      </c>
      <c r="E34">
        <v>23.32</v>
      </c>
      <c r="F34">
        <v>183.82</v>
      </c>
      <c r="G34">
        <v>127.73</v>
      </c>
      <c r="H34" s="4">
        <f t="shared" ref="H34:H97" si="1">((F34-E34)-(G34-E34))/(G34-E34)</f>
        <v>0.53720907959007758</v>
      </c>
    </row>
    <row r="35" spans="1:8" x14ac:dyDescent="0.35">
      <c r="A35" t="s">
        <v>45</v>
      </c>
      <c r="B35" t="s">
        <v>195</v>
      </c>
      <c r="C35">
        <v>2018</v>
      </c>
      <c r="D35">
        <v>44</v>
      </c>
      <c r="E35">
        <v>24.11</v>
      </c>
      <c r="F35">
        <v>213.95</v>
      </c>
      <c r="G35">
        <v>153.12</v>
      </c>
      <c r="H35" s="4">
        <f t="shared" si="1"/>
        <v>0.47151383613673348</v>
      </c>
    </row>
    <row r="36" spans="1:8" x14ac:dyDescent="0.35">
      <c r="A36" t="s">
        <v>46</v>
      </c>
      <c r="B36" t="s">
        <v>195</v>
      </c>
      <c r="C36">
        <v>2018</v>
      </c>
      <c r="D36">
        <v>45</v>
      </c>
      <c r="E36">
        <v>23.98</v>
      </c>
      <c r="F36">
        <v>185.87</v>
      </c>
      <c r="G36">
        <v>134.21</v>
      </c>
      <c r="H36" s="4">
        <f t="shared" si="1"/>
        <v>0.46865644561371683</v>
      </c>
    </row>
    <row r="37" spans="1:8" x14ac:dyDescent="0.35">
      <c r="A37" t="s">
        <v>47</v>
      </c>
      <c r="B37" t="s">
        <v>195</v>
      </c>
      <c r="C37">
        <v>2018</v>
      </c>
      <c r="D37">
        <v>71</v>
      </c>
      <c r="E37">
        <v>24.67</v>
      </c>
      <c r="F37">
        <v>172.63</v>
      </c>
      <c r="G37">
        <v>121.73</v>
      </c>
      <c r="H37" s="4">
        <f t="shared" si="1"/>
        <v>0.52441788584380766</v>
      </c>
    </row>
    <row r="38" spans="1:8" x14ac:dyDescent="0.35">
      <c r="A38" t="s">
        <v>48</v>
      </c>
      <c r="B38" t="s">
        <v>195</v>
      </c>
      <c r="C38">
        <v>2018</v>
      </c>
      <c r="D38">
        <v>26</v>
      </c>
      <c r="E38">
        <v>23.42</v>
      </c>
      <c r="F38">
        <v>183.6</v>
      </c>
      <c r="G38">
        <v>131.11000000000001</v>
      </c>
      <c r="H38" s="4">
        <f t="shared" si="1"/>
        <v>0.48741758751973246</v>
      </c>
    </row>
    <row r="39" spans="1:8" x14ac:dyDescent="0.35">
      <c r="A39" t="s">
        <v>49</v>
      </c>
      <c r="B39" t="s">
        <v>195</v>
      </c>
      <c r="C39">
        <v>2018</v>
      </c>
      <c r="D39">
        <v>66</v>
      </c>
      <c r="E39">
        <v>23.52</v>
      </c>
      <c r="F39">
        <v>184.68</v>
      </c>
      <c r="G39">
        <v>128.30000000000001</v>
      </c>
      <c r="H39" s="4">
        <f t="shared" si="1"/>
        <v>0.53807978621874375</v>
      </c>
    </row>
    <row r="40" spans="1:8" x14ac:dyDescent="0.35">
      <c r="A40" t="s">
        <v>50</v>
      </c>
      <c r="B40" t="s">
        <v>195</v>
      </c>
      <c r="C40">
        <v>2018</v>
      </c>
      <c r="D40">
        <v>27</v>
      </c>
      <c r="E40">
        <v>25.11</v>
      </c>
      <c r="F40">
        <v>193.36</v>
      </c>
      <c r="G40">
        <v>137.4</v>
      </c>
      <c r="H40" s="4">
        <f t="shared" si="1"/>
        <v>0.49835248018523459</v>
      </c>
    </row>
    <row r="41" spans="1:8" x14ac:dyDescent="0.35">
      <c r="A41" t="s">
        <v>51</v>
      </c>
      <c r="B41" t="s">
        <v>195</v>
      </c>
      <c r="C41">
        <v>2018</v>
      </c>
      <c r="D41">
        <v>32</v>
      </c>
      <c r="E41">
        <v>22.97</v>
      </c>
      <c r="F41">
        <v>158.93</v>
      </c>
      <c r="G41">
        <v>110.77</v>
      </c>
      <c r="H41" s="4">
        <f t="shared" si="1"/>
        <v>0.54851936218678832</v>
      </c>
    </row>
    <row r="42" spans="1:8" x14ac:dyDescent="0.35">
      <c r="A42" t="s">
        <v>52</v>
      </c>
      <c r="B42" t="s">
        <v>195</v>
      </c>
      <c r="C42">
        <v>2018</v>
      </c>
      <c r="D42">
        <v>64</v>
      </c>
      <c r="E42">
        <v>23.22</v>
      </c>
      <c r="F42">
        <v>174.81</v>
      </c>
      <c r="G42">
        <v>119.98</v>
      </c>
      <c r="H42" s="4">
        <f t="shared" si="1"/>
        <v>0.5666597767672592</v>
      </c>
    </row>
    <row r="43" spans="1:8" x14ac:dyDescent="0.35">
      <c r="A43" t="s">
        <v>53</v>
      </c>
      <c r="B43" t="s">
        <v>195</v>
      </c>
      <c r="C43">
        <v>2018</v>
      </c>
      <c r="D43">
        <v>36</v>
      </c>
      <c r="E43">
        <v>23.84</v>
      </c>
      <c r="F43">
        <v>211.02</v>
      </c>
      <c r="G43">
        <v>149.72999999999999</v>
      </c>
      <c r="H43" s="4">
        <f t="shared" si="1"/>
        <v>0.48685360235125924</v>
      </c>
    </row>
    <row r="44" spans="1:8" x14ac:dyDescent="0.35">
      <c r="A44" t="s">
        <v>54</v>
      </c>
      <c r="B44" t="s">
        <v>195</v>
      </c>
      <c r="C44">
        <v>2018</v>
      </c>
      <c r="D44">
        <v>56</v>
      </c>
      <c r="E44">
        <v>23.83</v>
      </c>
      <c r="F44">
        <v>202.5</v>
      </c>
      <c r="G44">
        <v>148.13999999999999</v>
      </c>
      <c r="H44" s="4">
        <f t="shared" si="1"/>
        <v>0.43729386211889659</v>
      </c>
    </row>
    <row r="45" spans="1:8" x14ac:dyDescent="0.35">
      <c r="A45" t="s">
        <v>55</v>
      </c>
      <c r="B45" t="s">
        <v>195</v>
      </c>
      <c r="C45">
        <v>2018</v>
      </c>
      <c r="D45">
        <v>6</v>
      </c>
      <c r="E45">
        <v>23.03</v>
      </c>
      <c r="F45">
        <v>225.66</v>
      </c>
      <c r="G45">
        <v>146.43</v>
      </c>
      <c r="H45" s="4">
        <f t="shared" si="1"/>
        <v>0.6420583468395461</v>
      </c>
    </row>
    <row r="46" spans="1:8" x14ac:dyDescent="0.35">
      <c r="A46" t="s">
        <v>56</v>
      </c>
      <c r="B46" t="s">
        <v>195</v>
      </c>
      <c r="C46">
        <v>2018</v>
      </c>
      <c r="D46">
        <v>51</v>
      </c>
      <c r="E46">
        <v>24.47</v>
      </c>
      <c r="F46">
        <v>189.15</v>
      </c>
      <c r="G46">
        <v>139.44999999999999</v>
      </c>
      <c r="H46" s="4">
        <f t="shared" si="1"/>
        <v>0.43224908679770413</v>
      </c>
    </row>
    <row r="47" spans="1:8" x14ac:dyDescent="0.35">
      <c r="A47" t="s">
        <v>57</v>
      </c>
      <c r="B47" t="s">
        <v>195</v>
      </c>
      <c r="C47">
        <v>2018</v>
      </c>
      <c r="D47">
        <v>1</v>
      </c>
      <c r="E47">
        <v>24</v>
      </c>
      <c r="F47">
        <v>188.86</v>
      </c>
      <c r="G47">
        <v>132.32</v>
      </c>
      <c r="H47" s="4">
        <f t="shared" si="1"/>
        <v>0.5219719350073857</v>
      </c>
    </row>
    <row r="48" spans="1:8" x14ac:dyDescent="0.35">
      <c r="A48" t="s">
        <v>58</v>
      </c>
      <c r="B48" t="s">
        <v>195</v>
      </c>
      <c r="C48">
        <v>2018</v>
      </c>
      <c r="D48">
        <v>59</v>
      </c>
      <c r="E48">
        <v>22.83</v>
      </c>
      <c r="F48">
        <v>167.57</v>
      </c>
      <c r="G48">
        <v>121.99</v>
      </c>
      <c r="H48" s="4">
        <f t="shared" si="1"/>
        <v>0.45966115369100458</v>
      </c>
    </row>
    <row r="49" spans="1:9" x14ac:dyDescent="0.35">
      <c r="A49" t="s">
        <v>59</v>
      </c>
      <c r="B49" t="s">
        <v>195</v>
      </c>
      <c r="C49">
        <v>2018</v>
      </c>
      <c r="D49">
        <v>68</v>
      </c>
      <c r="E49">
        <v>24.21</v>
      </c>
      <c r="F49">
        <v>171.33</v>
      </c>
      <c r="G49">
        <v>126.25</v>
      </c>
      <c r="H49" s="4">
        <f t="shared" si="1"/>
        <v>0.44178753430027456</v>
      </c>
    </row>
    <row r="50" spans="1:9" x14ac:dyDescent="0.35">
      <c r="A50" t="s">
        <v>60</v>
      </c>
      <c r="B50" t="s">
        <v>195</v>
      </c>
      <c r="C50">
        <v>2018</v>
      </c>
      <c r="D50">
        <v>58</v>
      </c>
      <c r="E50">
        <v>23.21</v>
      </c>
      <c r="F50">
        <v>198.1</v>
      </c>
      <c r="G50">
        <v>143.34</v>
      </c>
      <c r="H50" s="4">
        <f t="shared" si="1"/>
        <v>0.45583950720053268</v>
      </c>
    </row>
    <row r="51" spans="1:9" x14ac:dyDescent="0.35">
      <c r="A51" t="s">
        <v>61</v>
      </c>
      <c r="B51" t="s">
        <v>195</v>
      </c>
      <c r="C51">
        <v>2018</v>
      </c>
      <c r="D51">
        <v>11</v>
      </c>
      <c r="E51">
        <v>23.61</v>
      </c>
      <c r="F51">
        <v>181.41</v>
      </c>
      <c r="G51">
        <v>130.18</v>
      </c>
      <c r="H51" s="4">
        <f t="shared" si="1"/>
        <v>0.48071689969034437</v>
      </c>
    </row>
    <row r="52" spans="1:9" x14ac:dyDescent="0.35">
      <c r="A52" t="s">
        <v>62</v>
      </c>
      <c r="B52" t="s">
        <v>195</v>
      </c>
      <c r="C52">
        <v>2018</v>
      </c>
      <c r="D52">
        <v>49</v>
      </c>
      <c r="E52">
        <v>23.64</v>
      </c>
      <c r="F52">
        <v>192.64</v>
      </c>
      <c r="G52">
        <v>138.97</v>
      </c>
      <c r="H52" s="4">
        <f t="shared" si="1"/>
        <v>0.46536027052804996</v>
      </c>
    </row>
    <row r="53" spans="1:9" x14ac:dyDescent="0.35">
      <c r="A53" t="s">
        <v>63</v>
      </c>
      <c r="B53" t="s">
        <v>195</v>
      </c>
      <c r="C53">
        <v>2018</v>
      </c>
      <c r="D53">
        <v>13</v>
      </c>
      <c r="E53">
        <v>24.09</v>
      </c>
      <c r="F53">
        <v>194.14</v>
      </c>
      <c r="G53">
        <v>140.09</v>
      </c>
      <c r="H53" s="4">
        <f t="shared" si="1"/>
        <v>0.46594827586206883</v>
      </c>
    </row>
    <row r="54" spans="1:9" x14ac:dyDescent="0.35">
      <c r="A54" t="s">
        <v>64</v>
      </c>
      <c r="B54" t="s">
        <v>195</v>
      </c>
      <c r="C54">
        <v>2018</v>
      </c>
      <c r="D54">
        <v>47</v>
      </c>
      <c r="E54">
        <v>23.21</v>
      </c>
      <c r="F54">
        <v>159.61000000000001</v>
      </c>
      <c r="G54">
        <v>116.13</v>
      </c>
      <c r="H54" s="4">
        <f t="shared" si="1"/>
        <v>0.46792940163581603</v>
      </c>
    </row>
    <row r="55" spans="1:9" x14ac:dyDescent="0.35">
      <c r="A55" s="1" t="s">
        <v>65</v>
      </c>
      <c r="B55" t="s">
        <v>195</v>
      </c>
      <c r="C55">
        <v>2018</v>
      </c>
      <c r="D55">
        <v>41</v>
      </c>
      <c r="E55">
        <v>24.17</v>
      </c>
      <c r="F55">
        <v>191.39</v>
      </c>
      <c r="G55">
        <v>131.08000000000001</v>
      </c>
      <c r="H55" s="4">
        <f t="shared" si="1"/>
        <v>0.56411935272659197</v>
      </c>
      <c r="I55" t="s">
        <v>5</v>
      </c>
    </row>
    <row r="56" spans="1:9" x14ac:dyDescent="0.35">
      <c r="A56" t="s">
        <v>66</v>
      </c>
      <c r="B56" t="s">
        <v>195</v>
      </c>
      <c r="C56">
        <v>2018</v>
      </c>
      <c r="D56">
        <v>19</v>
      </c>
      <c r="E56">
        <v>22.71</v>
      </c>
      <c r="F56">
        <v>155.16999999999999</v>
      </c>
      <c r="G56">
        <v>106.53</v>
      </c>
      <c r="H56" s="4">
        <f t="shared" si="1"/>
        <v>0.58029109997613926</v>
      </c>
    </row>
    <row r="57" spans="1:9" x14ac:dyDescent="0.35">
      <c r="A57" t="s">
        <v>67</v>
      </c>
      <c r="B57" t="s">
        <v>195</v>
      </c>
      <c r="C57">
        <v>2018</v>
      </c>
      <c r="D57">
        <v>8</v>
      </c>
      <c r="E57">
        <v>23.32</v>
      </c>
      <c r="F57">
        <v>138.36000000000001</v>
      </c>
      <c r="G57">
        <v>95.07</v>
      </c>
      <c r="H57" s="4">
        <f t="shared" si="1"/>
        <v>0.60334494773519187</v>
      </c>
    </row>
    <row r="58" spans="1:9" x14ac:dyDescent="0.35">
      <c r="A58" t="s">
        <v>68</v>
      </c>
      <c r="B58" t="s">
        <v>195</v>
      </c>
      <c r="C58">
        <v>2018</v>
      </c>
      <c r="D58">
        <v>30</v>
      </c>
      <c r="E58">
        <v>23.25</v>
      </c>
      <c r="F58">
        <v>198.14</v>
      </c>
      <c r="G58">
        <v>144.16</v>
      </c>
      <c r="H58" s="4">
        <f t="shared" si="1"/>
        <v>0.44644777106939038</v>
      </c>
    </row>
    <row r="59" spans="1:9" x14ac:dyDescent="0.35">
      <c r="A59" t="s">
        <v>69</v>
      </c>
      <c r="B59" t="s">
        <v>195</v>
      </c>
      <c r="C59">
        <v>2018</v>
      </c>
      <c r="D59">
        <v>20</v>
      </c>
      <c r="E59">
        <v>23.28</v>
      </c>
      <c r="F59">
        <v>193.49</v>
      </c>
      <c r="G59">
        <v>140.28</v>
      </c>
      <c r="H59" s="4">
        <f t="shared" si="1"/>
        <v>0.45478632478632486</v>
      </c>
    </row>
    <row r="60" spans="1:9" x14ac:dyDescent="0.35">
      <c r="A60" t="s">
        <v>70</v>
      </c>
      <c r="B60" t="s">
        <v>195</v>
      </c>
      <c r="C60">
        <v>2018</v>
      </c>
      <c r="D60">
        <v>34</v>
      </c>
      <c r="E60">
        <v>23.11</v>
      </c>
      <c r="F60">
        <v>190.22</v>
      </c>
      <c r="G60">
        <v>133.34</v>
      </c>
      <c r="H60" s="4">
        <f t="shared" si="1"/>
        <v>0.51601197496144435</v>
      </c>
    </row>
    <row r="61" spans="1:9" x14ac:dyDescent="0.35">
      <c r="A61" t="s">
        <v>71</v>
      </c>
      <c r="B61" t="s">
        <v>195</v>
      </c>
      <c r="C61">
        <v>2018</v>
      </c>
      <c r="D61">
        <v>24</v>
      </c>
      <c r="E61">
        <v>22.54</v>
      </c>
      <c r="F61">
        <v>129.88999999999999</v>
      </c>
      <c r="G61">
        <v>90.12</v>
      </c>
      <c r="H61" s="4">
        <f t="shared" si="1"/>
        <v>0.58848771825983981</v>
      </c>
    </row>
    <row r="62" spans="1:9" x14ac:dyDescent="0.35">
      <c r="A62" t="s">
        <v>72</v>
      </c>
      <c r="B62" t="s">
        <v>196</v>
      </c>
      <c r="C62">
        <v>2018</v>
      </c>
      <c r="D62">
        <v>64</v>
      </c>
      <c r="E62">
        <v>23.07</v>
      </c>
      <c r="F62">
        <v>204.06</v>
      </c>
      <c r="G62">
        <v>153.18</v>
      </c>
      <c r="H62" s="4">
        <f t="shared" si="1"/>
        <v>0.39105372377219266</v>
      </c>
    </row>
    <row r="63" spans="1:9" x14ac:dyDescent="0.35">
      <c r="A63" t="s">
        <v>73</v>
      </c>
      <c r="B63" t="s">
        <v>196</v>
      </c>
      <c r="C63">
        <v>2018</v>
      </c>
      <c r="D63">
        <v>60</v>
      </c>
      <c r="E63">
        <v>24.1</v>
      </c>
      <c r="F63">
        <v>205.28</v>
      </c>
      <c r="G63">
        <v>148.53</v>
      </c>
      <c r="H63" s="4">
        <f t="shared" si="1"/>
        <v>0.45607972353933934</v>
      </c>
    </row>
    <row r="64" spans="1:9" x14ac:dyDescent="0.35">
      <c r="A64" t="s">
        <v>74</v>
      </c>
      <c r="B64" t="s">
        <v>196</v>
      </c>
      <c r="C64">
        <v>2018</v>
      </c>
      <c r="D64">
        <v>23</v>
      </c>
      <c r="E64">
        <v>23.53</v>
      </c>
      <c r="F64">
        <v>198.62</v>
      </c>
      <c r="G64">
        <v>144.13999999999999</v>
      </c>
      <c r="H64" s="4">
        <f t="shared" si="1"/>
        <v>0.45170383881933523</v>
      </c>
    </row>
    <row r="65" spans="1:9" x14ac:dyDescent="0.35">
      <c r="A65" t="s">
        <v>75</v>
      </c>
      <c r="B65" t="s">
        <v>196</v>
      </c>
      <c r="C65">
        <v>2018</v>
      </c>
      <c r="D65">
        <v>34</v>
      </c>
      <c r="E65">
        <v>23.02</v>
      </c>
      <c r="F65">
        <v>229.88</v>
      </c>
      <c r="G65">
        <v>168.23</v>
      </c>
      <c r="H65" s="4">
        <f t="shared" si="1"/>
        <v>0.42455753735968604</v>
      </c>
    </row>
    <row r="66" spans="1:9" x14ac:dyDescent="0.35">
      <c r="A66" t="s">
        <v>76</v>
      </c>
      <c r="B66" t="s">
        <v>196</v>
      </c>
      <c r="C66">
        <v>2018</v>
      </c>
      <c r="D66">
        <v>72</v>
      </c>
      <c r="E66">
        <v>23.56</v>
      </c>
      <c r="F66">
        <v>208.54</v>
      </c>
      <c r="G66">
        <v>153.86000000000001</v>
      </c>
      <c r="H66" s="4">
        <f t="shared" si="1"/>
        <v>0.41964696853415173</v>
      </c>
    </row>
    <row r="67" spans="1:9" x14ac:dyDescent="0.35">
      <c r="A67" t="s">
        <v>77</v>
      </c>
      <c r="B67" t="s">
        <v>196</v>
      </c>
      <c r="C67">
        <v>2018</v>
      </c>
      <c r="D67">
        <v>48</v>
      </c>
      <c r="E67">
        <v>24.09</v>
      </c>
      <c r="F67">
        <v>198.28</v>
      </c>
      <c r="G67">
        <v>143.11000000000001</v>
      </c>
      <c r="H67" s="4">
        <f t="shared" si="1"/>
        <v>0.46353554024533677</v>
      </c>
    </row>
    <row r="68" spans="1:9" x14ac:dyDescent="0.35">
      <c r="A68" t="s">
        <v>78</v>
      </c>
      <c r="B68" t="s">
        <v>196</v>
      </c>
      <c r="C68">
        <v>2018</v>
      </c>
      <c r="D68">
        <v>70</v>
      </c>
      <c r="E68">
        <v>23.18</v>
      </c>
      <c r="F68">
        <v>170.19</v>
      </c>
      <c r="G68">
        <v>124.76</v>
      </c>
      <c r="H68" s="4">
        <f t="shared" si="1"/>
        <v>0.44723370742272073</v>
      </c>
    </row>
    <row r="69" spans="1:9" x14ac:dyDescent="0.35">
      <c r="A69" t="s">
        <v>79</v>
      </c>
      <c r="B69" t="s">
        <v>196</v>
      </c>
      <c r="C69">
        <v>2018</v>
      </c>
      <c r="D69">
        <v>62</v>
      </c>
      <c r="E69">
        <v>23.6</v>
      </c>
      <c r="F69">
        <v>199.75</v>
      </c>
      <c r="G69">
        <v>148.33000000000001</v>
      </c>
      <c r="H69" s="4">
        <f t="shared" si="1"/>
        <v>0.41225046099575063</v>
      </c>
    </row>
    <row r="70" spans="1:9" x14ac:dyDescent="0.35">
      <c r="A70" t="s">
        <v>80</v>
      </c>
      <c r="B70" t="s">
        <v>196</v>
      </c>
      <c r="C70">
        <v>2018</v>
      </c>
      <c r="D70">
        <v>54</v>
      </c>
      <c r="E70">
        <v>22.88</v>
      </c>
      <c r="F70">
        <v>209.7</v>
      </c>
      <c r="G70">
        <v>152.41999999999999</v>
      </c>
      <c r="H70" s="4">
        <f t="shared" si="1"/>
        <v>0.44218002161494524</v>
      </c>
    </row>
    <row r="71" spans="1:9" x14ac:dyDescent="0.35">
      <c r="A71" t="s">
        <v>81</v>
      </c>
      <c r="B71" t="s">
        <v>196</v>
      </c>
      <c r="C71">
        <v>2018</v>
      </c>
      <c r="D71">
        <v>40</v>
      </c>
      <c r="E71">
        <v>24.07</v>
      </c>
      <c r="F71">
        <v>149.99</v>
      </c>
      <c r="G71">
        <v>115.54</v>
      </c>
      <c r="H71" s="4">
        <f t="shared" si="1"/>
        <v>0.37662621624576381</v>
      </c>
    </row>
    <row r="72" spans="1:9" x14ac:dyDescent="0.35">
      <c r="A72" t="s">
        <v>82</v>
      </c>
      <c r="B72" t="s">
        <v>196</v>
      </c>
      <c r="C72">
        <v>2018</v>
      </c>
      <c r="D72">
        <v>30</v>
      </c>
      <c r="E72">
        <v>23.03</v>
      </c>
      <c r="F72">
        <v>234.04</v>
      </c>
      <c r="G72">
        <v>174.73</v>
      </c>
      <c r="H72" s="4">
        <f t="shared" si="1"/>
        <v>0.39096901779828613</v>
      </c>
    </row>
    <row r="73" spans="1:9" x14ac:dyDescent="0.35">
      <c r="A73" t="s">
        <v>83</v>
      </c>
      <c r="B73" t="s">
        <v>196</v>
      </c>
      <c r="C73">
        <v>2018</v>
      </c>
      <c r="D73">
        <v>25</v>
      </c>
      <c r="E73">
        <v>24.89</v>
      </c>
      <c r="F73">
        <v>225.71</v>
      </c>
      <c r="G73">
        <v>163.59</v>
      </c>
      <c r="H73" s="4">
        <f t="shared" si="1"/>
        <v>0.44787310742609954</v>
      </c>
    </row>
    <row r="74" spans="1:9" x14ac:dyDescent="0.35">
      <c r="A74" t="s">
        <v>84</v>
      </c>
      <c r="B74" t="s">
        <v>196</v>
      </c>
      <c r="C74">
        <v>2018</v>
      </c>
      <c r="D74">
        <v>31</v>
      </c>
      <c r="E74">
        <v>27.83</v>
      </c>
      <c r="F74">
        <v>188.72</v>
      </c>
      <c r="G74">
        <v>142.72</v>
      </c>
      <c r="H74" s="4">
        <f t="shared" si="1"/>
        <v>0.40038297501958381</v>
      </c>
      <c r="I74" t="s">
        <v>7</v>
      </c>
    </row>
    <row r="75" spans="1:9" x14ac:dyDescent="0.35">
      <c r="A75" t="s">
        <v>85</v>
      </c>
      <c r="B75" t="s">
        <v>196</v>
      </c>
      <c r="C75">
        <v>2018</v>
      </c>
      <c r="D75">
        <v>39</v>
      </c>
      <c r="E75">
        <v>23.24</v>
      </c>
      <c r="F75">
        <v>195.17</v>
      </c>
      <c r="G75">
        <v>142.6</v>
      </c>
      <c r="H75" s="4">
        <f t="shared" si="1"/>
        <v>0.44043230563002661</v>
      </c>
    </row>
    <row r="76" spans="1:9" x14ac:dyDescent="0.35">
      <c r="A76" t="s">
        <v>86</v>
      </c>
      <c r="B76" t="s">
        <v>196</v>
      </c>
      <c r="C76">
        <v>2018</v>
      </c>
      <c r="D76">
        <v>69</v>
      </c>
      <c r="E76">
        <v>24.51</v>
      </c>
      <c r="F76">
        <v>174.13</v>
      </c>
      <c r="G76">
        <v>128.38</v>
      </c>
      <c r="H76" s="4">
        <f t="shared" si="1"/>
        <v>0.44045441417156078</v>
      </c>
    </row>
    <row r="77" spans="1:9" x14ac:dyDescent="0.35">
      <c r="A77" t="s">
        <v>87</v>
      </c>
      <c r="B77" t="s">
        <v>196</v>
      </c>
      <c r="C77">
        <v>2018</v>
      </c>
      <c r="D77">
        <v>58</v>
      </c>
      <c r="E77">
        <v>23.16</v>
      </c>
      <c r="F77">
        <v>211.46</v>
      </c>
      <c r="G77">
        <v>157</v>
      </c>
      <c r="H77" s="4">
        <f t="shared" si="1"/>
        <v>0.40690376569037662</v>
      </c>
    </row>
    <row r="78" spans="1:9" x14ac:dyDescent="0.35">
      <c r="A78" t="s">
        <v>88</v>
      </c>
      <c r="B78" t="s">
        <v>196</v>
      </c>
      <c r="C78">
        <v>2018</v>
      </c>
      <c r="D78">
        <v>33</v>
      </c>
      <c r="E78">
        <v>25.09</v>
      </c>
      <c r="F78">
        <v>205.22</v>
      </c>
      <c r="G78">
        <v>151.87</v>
      </c>
      <c r="H78" s="4">
        <f t="shared" si="1"/>
        <v>0.42080769837513798</v>
      </c>
    </row>
    <row r="79" spans="1:9" x14ac:dyDescent="0.35">
      <c r="A79" t="s">
        <v>89</v>
      </c>
      <c r="B79" t="s">
        <v>196</v>
      </c>
      <c r="C79">
        <v>2018</v>
      </c>
      <c r="D79">
        <v>40</v>
      </c>
      <c r="E79">
        <v>23.95</v>
      </c>
      <c r="F79">
        <v>216.77</v>
      </c>
      <c r="G79">
        <v>159.4</v>
      </c>
      <c r="H79" s="4">
        <f t="shared" si="1"/>
        <v>0.42355112587670724</v>
      </c>
    </row>
    <row r="80" spans="1:9" x14ac:dyDescent="0.35">
      <c r="A80" t="s">
        <v>90</v>
      </c>
      <c r="B80" t="s">
        <v>196</v>
      </c>
      <c r="C80">
        <v>2018</v>
      </c>
      <c r="D80">
        <v>33</v>
      </c>
      <c r="E80">
        <v>25.25</v>
      </c>
      <c r="F80">
        <v>210.4</v>
      </c>
      <c r="G80">
        <v>155.51</v>
      </c>
      <c r="H80" s="4">
        <f t="shared" si="1"/>
        <v>0.42138799324428083</v>
      </c>
    </row>
    <row r="81" spans="1:8" x14ac:dyDescent="0.35">
      <c r="A81" t="s">
        <v>91</v>
      </c>
      <c r="B81" t="s">
        <v>196</v>
      </c>
      <c r="C81">
        <v>2018</v>
      </c>
      <c r="D81">
        <v>1</v>
      </c>
      <c r="E81">
        <v>23.96</v>
      </c>
      <c r="F81">
        <v>212.27</v>
      </c>
      <c r="G81">
        <v>159.38999999999999</v>
      </c>
      <c r="H81" s="4">
        <f t="shared" si="1"/>
        <v>0.39046001624455462</v>
      </c>
    </row>
    <row r="82" spans="1:8" x14ac:dyDescent="0.35">
      <c r="A82" t="s">
        <v>92</v>
      </c>
      <c r="B82" t="s">
        <v>196</v>
      </c>
      <c r="C82">
        <v>2018</v>
      </c>
      <c r="D82">
        <v>61</v>
      </c>
      <c r="E82">
        <v>23.51</v>
      </c>
      <c r="F82">
        <v>214.48</v>
      </c>
      <c r="G82">
        <v>159.05000000000001</v>
      </c>
      <c r="H82" s="4">
        <f t="shared" si="1"/>
        <v>0.4089567655304705</v>
      </c>
    </row>
    <row r="83" spans="1:8" x14ac:dyDescent="0.35">
      <c r="A83" t="s">
        <v>93</v>
      </c>
      <c r="B83" t="s">
        <v>196</v>
      </c>
      <c r="C83">
        <v>2018</v>
      </c>
      <c r="D83">
        <v>6</v>
      </c>
      <c r="E83">
        <v>22.89</v>
      </c>
      <c r="F83">
        <v>211.26</v>
      </c>
      <c r="G83">
        <v>153.09</v>
      </c>
      <c r="H83" s="4">
        <f t="shared" si="1"/>
        <v>0.44677419354838727</v>
      </c>
    </row>
    <row r="84" spans="1:8" x14ac:dyDescent="0.35">
      <c r="A84" t="s">
        <v>94</v>
      </c>
      <c r="B84" t="s">
        <v>196</v>
      </c>
      <c r="C84">
        <v>2018</v>
      </c>
      <c r="D84">
        <v>26</v>
      </c>
      <c r="E84">
        <v>23.27</v>
      </c>
      <c r="F84">
        <v>205.45</v>
      </c>
      <c r="G84">
        <v>151.99</v>
      </c>
      <c r="H84" s="4">
        <f t="shared" si="1"/>
        <v>0.41532007458048464</v>
      </c>
    </row>
    <row r="85" spans="1:8" x14ac:dyDescent="0.35">
      <c r="A85" t="s">
        <v>95</v>
      </c>
      <c r="B85" t="s">
        <v>196</v>
      </c>
      <c r="C85">
        <v>2018</v>
      </c>
      <c r="D85">
        <v>44</v>
      </c>
      <c r="E85">
        <v>23.89</v>
      </c>
      <c r="F85">
        <v>204.19</v>
      </c>
      <c r="G85">
        <v>153.82</v>
      </c>
      <c r="H85" s="4">
        <f t="shared" si="1"/>
        <v>0.38767028399907644</v>
      </c>
    </row>
    <row r="86" spans="1:8" x14ac:dyDescent="0.35">
      <c r="A86" t="s">
        <v>96</v>
      </c>
      <c r="B86" t="s">
        <v>196</v>
      </c>
      <c r="C86">
        <v>2018</v>
      </c>
      <c r="D86">
        <v>21</v>
      </c>
      <c r="E86">
        <v>23.24</v>
      </c>
      <c r="F86">
        <v>213.47</v>
      </c>
      <c r="G86">
        <v>158.31</v>
      </c>
      <c r="H86" s="4">
        <f t="shared" si="1"/>
        <v>0.40838083956467014</v>
      </c>
    </row>
    <row r="87" spans="1:8" x14ac:dyDescent="0.35">
      <c r="A87" t="s">
        <v>97</v>
      </c>
      <c r="B87" t="s">
        <v>196</v>
      </c>
      <c r="C87">
        <v>2018</v>
      </c>
      <c r="D87">
        <v>47</v>
      </c>
      <c r="E87">
        <v>23.09</v>
      </c>
      <c r="F87">
        <v>206.57</v>
      </c>
      <c r="G87">
        <v>153.97</v>
      </c>
      <c r="H87" s="4">
        <f t="shared" si="1"/>
        <v>0.40189486552567233</v>
      </c>
    </row>
    <row r="88" spans="1:8" x14ac:dyDescent="0.35">
      <c r="A88" t="s">
        <v>98</v>
      </c>
      <c r="B88" t="s">
        <v>196</v>
      </c>
      <c r="C88">
        <v>2018</v>
      </c>
      <c r="D88">
        <v>17</v>
      </c>
      <c r="E88">
        <v>24.69</v>
      </c>
      <c r="F88">
        <v>199.58</v>
      </c>
      <c r="G88">
        <v>143.37</v>
      </c>
      <c r="H88" s="4">
        <f t="shared" si="1"/>
        <v>0.47362655881361648</v>
      </c>
    </row>
    <row r="89" spans="1:8" x14ac:dyDescent="0.35">
      <c r="A89" t="s">
        <v>99</v>
      </c>
      <c r="B89" t="s">
        <v>196</v>
      </c>
      <c r="C89">
        <v>2018</v>
      </c>
      <c r="D89">
        <v>20</v>
      </c>
      <c r="E89">
        <v>23.17</v>
      </c>
      <c r="F89">
        <v>201.05</v>
      </c>
      <c r="G89">
        <v>145.76</v>
      </c>
      <c r="H89" s="4">
        <f t="shared" si="1"/>
        <v>0.45101558038991768</v>
      </c>
    </row>
    <row r="90" spans="1:8" x14ac:dyDescent="0.35">
      <c r="A90" t="s">
        <v>100</v>
      </c>
      <c r="B90" t="s">
        <v>196</v>
      </c>
      <c r="C90">
        <v>2018</v>
      </c>
      <c r="D90">
        <v>41</v>
      </c>
      <c r="E90">
        <v>23.88</v>
      </c>
      <c r="F90">
        <v>194.25</v>
      </c>
      <c r="G90">
        <v>144</v>
      </c>
      <c r="H90" s="4">
        <f t="shared" si="1"/>
        <v>0.41833166833166829</v>
      </c>
    </row>
    <row r="91" spans="1:8" x14ac:dyDescent="0.35">
      <c r="A91" t="s">
        <v>101</v>
      </c>
      <c r="B91" t="s">
        <v>196</v>
      </c>
      <c r="C91">
        <v>2018</v>
      </c>
      <c r="D91">
        <v>65</v>
      </c>
      <c r="E91">
        <v>23.21</v>
      </c>
      <c r="F91">
        <v>202.06</v>
      </c>
      <c r="G91">
        <v>147.51</v>
      </c>
      <c r="H91" s="4">
        <f t="shared" si="1"/>
        <v>0.43885760257441686</v>
      </c>
    </row>
    <row r="92" spans="1:8" x14ac:dyDescent="0.35">
      <c r="A92" t="s">
        <v>102</v>
      </c>
      <c r="B92" t="s">
        <v>196</v>
      </c>
      <c r="C92">
        <v>2018</v>
      </c>
      <c r="D92">
        <v>19</v>
      </c>
      <c r="E92">
        <v>22.51</v>
      </c>
      <c r="F92">
        <v>205.93</v>
      </c>
      <c r="G92">
        <v>149.32</v>
      </c>
      <c r="H92" s="4">
        <f t="shared" si="1"/>
        <v>0.4464158977998583</v>
      </c>
    </row>
    <row r="93" spans="1:8" x14ac:dyDescent="0.35">
      <c r="A93" t="s">
        <v>103</v>
      </c>
      <c r="B93" t="s">
        <v>196</v>
      </c>
      <c r="C93">
        <v>2018</v>
      </c>
      <c r="D93">
        <v>6</v>
      </c>
      <c r="E93">
        <v>22.85</v>
      </c>
      <c r="F93">
        <v>216.1</v>
      </c>
      <c r="G93">
        <v>158.33000000000001</v>
      </c>
      <c r="H93" s="4">
        <f t="shared" si="1"/>
        <v>0.42640980218482416</v>
      </c>
    </row>
    <row r="94" spans="1:8" x14ac:dyDescent="0.35">
      <c r="A94" t="s">
        <v>104</v>
      </c>
      <c r="B94" t="s">
        <v>196</v>
      </c>
      <c r="C94">
        <v>2018</v>
      </c>
      <c r="D94">
        <v>5</v>
      </c>
      <c r="E94">
        <v>25.19</v>
      </c>
      <c r="F94">
        <v>164.06</v>
      </c>
      <c r="G94">
        <v>113.79</v>
      </c>
      <c r="H94" s="4">
        <f t="shared" si="1"/>
        <v>0.56738148984198633</v>
      </c>
    </row>
    <row r="95" spans="1:8" x14ac:dyDescent="0.35">
      <c r="A95" t="s">
        <v>105</v>
      </c>
      <c r="B95" t="s">
        <v>196</v>
      </c>
      <c r="C95">
        <v>2018</v>
      </c>
      <c r="D95">
        <v>9</v>
      </c>
      <c r="E95">
        <v>23.85</v>
      </c>
      <c r="F95">
        <v>217.36</v>
      </c>
      <c r="G95">
        <v>157.88999999999999</v>
      </c>
      <c r="H95" s="4">
        <f t="shared" si="1"/>
        <v>0.44367353028946604</v>
      </c>
    </row>
    <row r="96" spans="1:8" x14ac:dyDescent="0.35">
      <c r="A96" t="s">
        <v>106</v>
      </c>
      <c r="B96" t="s">
        <v>196</v>
      </c>
      <c r="C96">
        <v>2018</v>
      </c>
      <c r="D96">
        <v>38</v>
      </c>
      <c r="E96">
        <v>24.1</v>
      </c>
      <c r="F96">
        <v>220.52</v>
      </c>
      <c r="G96">
        <v>164.78</v>
      </c>
      <c r="H96" s="4">
        <f t="shared" si="1"/>
        <v>0.39621836792721071</v>
      </c>
    </row>
    <row r="97" spans="1:9" x14ac:dyDescent="0.35">
      <c r="A97" t="s">
        <v>107</v>
      </c>
      <c r="B97" t="s">
        <v>196</v>
      </c>
      <c r="C97">
        <v>2018</v>
      </c>
      <c r="D97">
        <v>31</v>
      </c>
      <c r="E97">
        <v>23.34</v>
      </c>
      <c r="F97">
        <v>157.54</v>
      </c>
      <c r="G97">
        <v>120.51</v>
      </c>
      <c r="H97" s="4">
        <f t="shared" si="1"/>
        <v>0.38108469692291846</v>
      </c>
    </row>
    <row r="98" spans="1:9" x14ac:dyDescent="0.35">
      <c r="A98" t="s">
        <v>108</v>
      </c>
      <c r="B98" t="s">
        <v>196</v>
      </c>
      <c r="C98">
        <v>2018</v>
      </c>
      <c r="D98">
        <v>52</v>
      </c>
      <c r="E98">
        <v>22.94</v>
      </c>
      <c r="F98">
        <v>220.28</v>
      </c>
      <c r="G98">
        <v>160.74</v>
      </c>
      <c r="H98" s="4">
        <f t="shared" ref="H98:H121" si="2">((F98-E98)-(G98-E98))/(G98-E98)</f>
        <v>0.43207547169811311</v>
      </c>
    </row>
    <row r="99" spans="1:9" x14ac:dyDescent="0.35">
      <c r="A99" t="s">
        <v>109</v>
      </c>
      <c r="B99" t="s">
        <v>196</v>
      </c>
      <c r="C99">
        <v>2018</v>
      </c>
      <c r="D99">
        <v>2</v>
      </c>
      <c r="E99">
        <v>25.04</v>
      </c>
      <c r="F99">
        <v>216.56</v>
      </c>
      <c r="G99">
        <v>154.69</v>
      </c>
      <c r="H99" s="4">
        <f t="shared" si="2"/>
        <v>0.47720786733513304</v>
      </c>
    </row>
    <row r="100" spans="1:9" x14ac:dyDescent="0.35">
      <c r="A100" t="s">
        <v>110</v>
      </c>
      <c r="B100" t="s">
        <v>196</v>
      </c>
      <c r="C100">
        <v>2018</v>
      </c>
      <c r="D100">
        <v>45</v>
      </c>
      <c r="E100">
        <v>23.92</v>
      </c>
      <c r="F100">
        <v>191.82</v>
      </c>
      <c r="G100">
        <v>137.30000000000001</v>
      </c>
      <c r="H100" s="4">
        <f t="shared" si="2"/>
        <v>0.48086082201446428</v>
      </c>
    </row>
    <row r="101" spans="1:9" x14ac:dyDescent="0.35">
      <c r="A101" t="s">
        <v>111</v>
      </c>
      <c r="B101" t="s">
        <v>196</v>
      </c>
      <c r="C101">
        <v>2018</v>
      </c>
      <c r="D101">
        <v>18</v>
      </c>
      <c r="E101">
        <v>22.57</v>
      </c>
      <c r="F101">
        <v>191.21</v>
      </c>
      <c r="G101">
        <v>134.34</v>
      </c>
      <c r="H101" s="4">
        <f t="shared" si="2"/>
        <v>0.5088127404491366</v>
      </c>
    </row>
    <row r="102" spans="1:9" x14ac:dyDescent="0.35">
      <c r="A102" t="s">
        <v>112</v>
      </c>
      <c r="B102" t="s">
        <v>196</v>
      </c>
      <c r="C102">
        <v>2018</v>
      </c>
      <c r="D102">
        <v>53</v>
      </c>
      <c r="E102">
        <v>23.05</v>
      </c>
      <c r="F102">
        <v>187.73</v>
      </c>
      <c r="G102">
        <v>125.48</v>
      </c>
      <c r="H102" s="4">
        <f t="shared" si="2"/>
        <v>0.60773210973347624</v>
      </c>
    </row>
    <row r="103" spans="1:9" x14ac:dyDescent="0.35">
      <c r="A103" t="s">
        <v>113</v>
      </c>
      <c r="B103" t="s">
        <v>196</v>
      </c>
      <c r="C103">
        <v>2018</v>
      </c>
      <c r="D103">
        <v>48</v>
      </c>
      <c r="E103">
        <v>24.02</v>
      </c>
      <c r="F103">
        <v>228.31</v>
      </c>
      <c r="G103">
        <v>169.88</v>
      </c>
      <c r="H103" s="4">
        <f t="shared" si="2"/>
        <v>0.40058960647195951</v>
      </c>
    </row>
    <row r="104" spans="1:9" x14ac:dyDescent="0.35">
      <c r="A104" t="s">
        <v>114</v>
      </c>
      <c r="B104" t="s">
        <v>196</v>
      </c>
      <c r="C104">
        <v>2018</v>
      </c>
      <c r="D104">
        <v>26</v>
      </c>
      <c r="E104">
        <v>27.49</v>
      </c>
      <c r="F104">
        <v>204.89</v>
      </c>
      <c r="G104">
        <v>157.01</v>
      </c>
      <c r="H104" s="4">
        <f t="shared" si="2"/>
        <v>0.36967263743051265</v>
      </c>
      <c r="I104" t="s">
        <v>9</v>
      </c>
    </row>
    <row r="105" spans="1:9" x14ac:dyDescent="0.35">
      <c r="A105" t="s">
        <v>115</v>
      </c>
      <c r="B105" t="s">
        <v>196</v>
      </c>
      <c r="C105">
        <v>2018</v>
      </c>
      <c r="D105">
        <v>57</v>
      </c>
      <c r="E105">
        <v>23.31</v>
      </c>
      <c r="F105">
        <v>212.7</v>
      </c>
      <c r="G105">
        <v>154.93</v>
      </c>
      <c r="H105" s="4">
        <f t="shared" si="2"/>
        <v>0.43891505850174728</v>
      </c>
    </row>
    <row r="106" spans="1:9" x14ac:dyDescent="0.35">
      <c r="A106" t="s">
        <v>116</v>
      </c>
      <c r="B106" t="s">
        <v>196</v>
      </c>
      <c r="C106">
        <v>2018</v>
      </c>
      <c r="D106">
        <v>52</v>
      </c>
      <c r="E106">
        <v>22.99</v>
      </c>
      <c r="F106">
        <v>198.34</v>
      </c>
      <c r="G106">
        <v>141.16999999999999</v>
      </c>
      <c r="H106" s="4">
        <f t="shared" si="2"/>
        <v>0.48375359620917252</v>
      </c>
    </row>
    <row r="107" spans="1:9" x14ac:dyDescent="0.35">
      <c r="A107" t="s">
        <v>117</v>
      </c>
      <c r="B107" t="s">
        <v>196</v>
      </c>
      <c r="C107">
        <v>2018</v>
      </c>
      <c r="D107">
        <v>42</v>
      </c>
      <c r="E107">
        <v>25.16</v>
      </c>
      <c r="F107">
        <v>163.88</v>
      </c>
      <c r="G107">
        <v>119.01</v>
      </c>
      <c r="H107" s="4">
        <f t="shared" si="2"/>
        <v>0.47810335641981871</v>
      </c>
    </row>
    <row r="108" spans="1:9" x14ac:dyDescent="0.35">
      <c r="A108" t="s">
        <v>118</v>
      </c>
      <c r="B108" t="s">
        <v>196</v>
      </c>
      <c r="C108">
        <v>2018</v>
      </c>
      <c r="D108">
        <v>47</v>
      </c>
      <c r="E108">
        <v>23.22</v>
      </c>
      <c r="F108">
        <v>187.67</v>
      </c>
      <c r="G108">
        <v>135.56</v>
      </c>
      <c r="H108" s="4">
        <f t="shared" si="2"/>
        <v>0.46385971158981648</v>
      </c>
    </row>
    <row r="109" spans="1:9" x14ac:dyDescent="0.35">
      <c r="A109" t="s">
        <v>119</v>
      </c>
      <c r="B109" t="s">
        <v>196</v>
      </c>
      <c r="C109">
        <v>2018</v>
      </c>
      <c r="D109">
        <v>30</v>
      </c>
      <c r="E109">
        <v>27.83</v>
      </c>
      <c r="F109">
        <v>205.23</v>
      </c>
      <c r="G109">
        <v>149.19999999999999</v>
      </c>
      <c r="H109" s="4">
        <f t="shared" si="2"/>
        <v>0.46164620581692339</v>
      </c>
      <c r="I109" t="s">
        <v>6</v>
      </c>
    </row>
    <row r="110" spans="1:9" x14ac:dyDescent="0.35">
      <c r="A110" t="s">
        <v>120</v>
      </c>
      <c r="B110" t="s">
        <v>196</v>
      </c>
      <c r="C110">
        <v>2018</v>
      </c>
      <c r="D110">
        <v>68</v>
      </c>
      <c r="E110">
        <v>24.06</v>
      </c>
      <c r="F110">
        <v>177.48</v>
      </c>
      <c r="G110">
        <v>123.01</v>
      </c>
      <c r="H110" s="4">
        <f t="shared" si="2"/>
        <v>0.55048004042445664</v>
      </c>
    </row>
    <row r="111" spans="1:9" x14ac:dyDescent="0.35">
      <c r="A111" t="s">
        <v>121</v>
      </c>
      <c r="B111" t="s">
        <v>196</v>
      </c>
      <c r="C111">
        <v>2018</v>
      </c>
      <c r="D111">
        <v>27</v>
      </c>
      <c r="E111">
        <v>24.84</v>
      </c>
      <c r="F111">
        <v>197.25</v>
      </c>
      <c r="G111">
        <v>150</v>
      </c>
      <c r="H111" s="4">
        <f t="shared" si="2"/>
        <v>0.37751677852348997</v>
      </c>
    </row>
    <row r="112" spans="1:9" x14ac:dyDescent="0.35">
      <c r="A112" t="s">
        <v>122</v>
      </c>
      <c r="B112" t="s">
        <v>196</v>
      </c>
      <c r="C112">
        <v>2018</v>
      </c>
      <c r="D112">
        <v>40</v>
      </c>
      <c r="E112">
        <v>23.96</v>
      </c>
      <c r="F112">
        <v>231.85</v>
      </c>
      <c r="G112">
        <v>171.13</v>
      </c>
      <c r="H112" s="4">
        <f t="shared" si="2"/>
        <v>0.41258408643065847</v>
      </c>
    </row>
    <row r="113" spans="1:8" x14ac:dyDescent="0.35">
      <c r="A113" t="s">
        <v>123</v>
      </c>
      <c r="B113" t="s">
        <v>196</v>
      </c>
      <c r="C113">
        <v>2018</v>
      </c>
      <c r="D113">
        <v>56</v>
      </c>
      <c r="E113">
        <v>23.99</v>
      </c>
      <c r="F113">
        <v>201.74</v>
      </c>
      <c r="G113">
        <v>148.13999999999999</v>
      </c>
      <c r="H113" s="4">
        <f t="shared" si="2"/>
        <v>0.43173580346355223</v>
      </c>
    </row>
    <row r="114" spans="1:8" x14ac:dyDescent="0.35">
      <c r="A114" t="s">
        <v>124</v>
      </c>
      <c r="B114" t="s">
        <v>196</v>
      </c>
      <c r="C114">
        <v>2018</v>
      </c>
      <c r="D114">
        <v>36</v>
      </c>
      <c r="E114">
        <v>24.02</v>
      </c>
      <c r="F114">
        <v>196.07</v>
      </c>
      <c r="G114">
        <v>140.78</v>
      </c>
      <c r="H114" s="4">
        <f t="shared" si="2"/>
        <v>0.4735354573484068</v>
      </c>
    </row>
    <row r="115" spans="1:8" x14ac:dyDescent="0.35">
      <c r="A115" t="s">
        <v>125</v>
      </c>
      <c r="B115" t="s">
        <v>196</v>
      </c>
      <c r="C115">
        <v>2018</v>
      </c>
      <c r="D115">
        <v>41</v>
      </c>
      <c r="E115">
        <v>23.71</v>
      </c>
      <c r="F115">
        <v>205.13</v>
      </c>
      <c r="G115">
        <v>152.05000000000001</v>
      </c>
      <c r="H115" s="4">
        <f t="shared" si="2"/>
        <v>0.4135889044724948</v>
      </c>
    </row>
    <row r="116" spans="1:8" x14ac:dyDescent="0.35">
      <c r="A116" t="s">
        <v>126</v>
      </c>
      <c r="B116" t="s">
        <v>196</v>
      </c>
      <c r="C116">
        <v>2018</v>
      </c>
      <c r="D116">
        <v>13</v>
      </c>
      <c r="E116">
        <v>24.07</v>
      </c>
      <c r="F116">
        <v>191.77</v>
      </c>
      <c r="G116">
        <v>138.88999999999999</v>
      </c>
      <c r="H116" s="4">
        <f t="shared" si="2"/>
        <v>0.46054694304128224</v>
      </c>
    </row>
    <row r="117" spans="1:8" x14ac:dyDescent="0.35">
      <c r="A117" t="s">
        <v>127</v>
      </c>
      <c r="B117" t="s">
        <v>196</v>
      </c>
      <c r="C117">
        <v>2018</v>
      </c>
      <c r="D117">
        <v>51</v>
      </c>
      <c r="E117">
        <v>24.32</v>
      </c>
      <c r="F117">
        <v>199.39</v>
      </c>
      <c r="G117">
        <v>137.53</v>
      </c>
      <c r="H117" s="4">
        <f t="shared" si="2"/>
        <v>0.54641816093984619</v>
      </c>
    </row>
    <row r="118" spans="1:8" x14ac:dyDescent="0.35">
      <c r="A118" t="s">
        <v>128</v>
      </c>
      <c r="B118" t="s">
        <v>196</v>
      </c>
      <c r="C118">
        <v>2018</v>
      </c>
      <c r="D118">
        <v>56</v>
      </c>
      <c r="E118">
        <v>23.84</v>
      </c>
      <c r="F118">
        <v>190.08</v>
      </c>
      <c r="G118">
        <v>132.65</v>
      </c>
      <c r="H118" s="4">
        <f t="shared" si="2"/>
        <v>0.52780075360720524</v>
      </c>
    </row>
    <row r="119" spans="1:8" x14ac:dyDescent="0.35">
      <c r="A119" t="s">
        <v>129</v>
      </c>
      <c r="B119" t="s">
        <v>196</v>
      </c>
      <c r="C119">
        <v>2018</v>
      </c>
      <c r="D119">
        <v>27</v>
      </c>
      <c r="E119">
        <v>24.98</v>
      </c>
      <c r="F119">
        <v>222.69</v>
      </c>
      <c r="G119">
        <v>163.19</v>
      </c>
      <c r="H119" s="4">
        <f t="shared" si="2"/>
        <v>0.43050430504305043</v>
      </c>
    </row>
    <row r="120" spans="1:8" x14ac:dyDescent="0.35">
      <c r="A120" t="s">
        <v>130</v>
      </c>
      <c r="B120" t="s">
        <v>196</v>
      </c>
      <c r="C120">
        <v>2018</v>
      </c>
      <c r="D120">
        <v>66</v>
      </c>
      <c r="E120">
        <v>23.36</v>
      </c>
      <c r="F120">
        <v>226.56</v>
      </c>
      <c r="G120">
        <v>170.44</v>
      </c>
      <c r="H120" s="4">
        <f t="shared" si="2"/>
        <v>0.38156105520805011</v>
      </c>
    </row>
    <row r="121" spans="1:8" x14ac:dyDescent="0.35">
      <c r="A121" t="s">
        <v>131</v>
      </c>
      <c r="B121" t="s">
        <v>196</v>
      </c>
      <c r="C121">
        <v>2018</v>
      </c>
      <c r="D121">
        <v>67</v>
      </c>
      <c r="E121">
        <v>23.61</v>
      </c>
      <c r="F121">
        <v>214.87</v>
      </c>
      <c r="G121">
        <v>157.91</v>
      </c>
      <c r="H121" s="4">
        <f t="shared" si="2"/>
        <v>0.42412509307520457</v>
      </c>
    </row>
    <row r="122" spans="1:8" x14ac:dyDescent="0.35">
      <c r="A122" t="s">
        <v>132</v>
      </c>
      <c r="B122" t="s">
        <v>197</v>
      </c>
      <c r="C122">
        <v>2018</v>
      </c>
      <c r="D122">
        <v>65</v>
      </c>
      <c r="E122">
        <v>23.15</v>
      </c>
      <c r="F122">
        <v>208.69</v>
      </c>
      <c r="G122">
        <v>159.13999999999999</v>
      </c>
      <c r="H122" s="4">
        <f>((F122-E122)-(G122-E122))/(G122-E122)</f>
        <v>0.36436502684020899</v>
      </c>
    </row>
    <row r="123" spans="1:8" x14ac:dyDescent="0.35">
      <c r="A123" t="s">
        <v>133</v>
      </c>
      <c r="B123" t="s">
        <v>197</v>
      </c>
      <c r="C123">
        <v>2018</v>
      </c>
      <c r="D123">
        <v>30</v>
      </c>
      <c r="E123">
        <v>23.18</v>
      </c>
      <c r="F123">
        <v>206.54</v>
      </c>
      <c r="G123">
        <v>148.16999999999999</v>
      </c>
      <c r="H123" s="4">
        <f t="shared" ref="H123:H181" si="3">((F123-E123)-(G123-E123))/(G123-E123)</f>
        <v>0.46699735978878321</v>
      </c>
    </row>
    <row r="124" spans="1:8" x14ac:dyDescent="0.35">
      <c r="A124" t="s">
        <v>134</v>
      </c>
      <c r="B124" t="s">
        <v>197</v>
      </c>
      <c r="C124">
        <v>2018</v>
      </c>
      <c r="D124">
        <v>26</v>
      </c>
      <c r="E124">
        <v>27.52</v>
      </c>
      <c r="F124">
        <v>212.79</v>
      </c>
      <c r="G124">
        <v>160.03</v>
      </c>
      <c r="H124" s="4">
        <f t="shared" si="3"/>
        <v>0.39815862953739334</v>
      </c>
    </row>
    <row r="125" spans="1:8" x14ac:dyDescent="0.35">
      <c r="A125" t="s">
        <v>135</v>
      </c>
      <c r="B125" t="s">
        <v>197</v>
      </c>
      <c r="C125">
        <v>2018</v>
      </c>
      <c r="D125">
        <v>11</v>
      </c>
      <c r="E125">
        <v>23.5</v>
      </c>
      <c r="F125">
        <v>192.27</v>
      </c>
      <c r="G125">
        <v>151.47</v>
      </c>
      <c r="H125" s="4">
        <f t="shared" si="3"/>
        <v>0.31882472454481531</v>
      </c>
    </row>
    <row r="126" spans="1:8" x14ac:dyDescent="0.35">
      <c r="A126" t="s">
        <v>136</v>
      </c>
      <c r="B126" t="s">
        <v>197</v>
      </c>
      <c r="C126">
        <v>2018</v>
      </c>
      <c r="D126">
        <v>1</v>
      </c>
      <c r="E126">
        <v>24.03</v>
      </c>
      <c r="F126">
        <v>218.5</v>
      </c>
      <c r="G126">
        <v>166.81</v>
      </c>
      <c r="H126" s="4">
        <f t="shared" si="3"/>
        <v>0.36202549376663395</v>
      </c>
    </row>
    <row r="127" spans="1:8" x14ac:dyDescent="0.35">
      <c r="A127" t="s">
        <v>137</v>
      </c>
      <c r="B127" t="s">
        <v>197</v>
      </c>
      <c r="C127">
        <v>2018</v>
      </c>
      <c r="D127">
        <v>64</v>
      </c>
      <c r="E127">
        <v>23.09</v>
      </c>
      <c r="F127">
        <v>211.64</v>
      </c>
      <c r="G127">
        <v>159.38</v>
      </c>
      <c r="H127" s="4">
        <f t="shared" si="3"/>
        <v>0.38344706141316304</v>
      </c>
    </row>
    <row r="128" spans="1:8" x14ac:dyDescent="0.35">
      <c r="A128" t="s">
        <v>138</v>
      </c>
      <c r="B128" t="s">
        <v>197</v>
      </c>
      <c r="C128">
        <v>2018</v>
      </c>
      <c r="D128">
        <v>25</v>
      </c>
      <c r="E128">
        <v>24.95</v>
      </c>
      <c r="F128">
        <v>164.19</v>
      </c>
      <c r="G128">
        <v>124.45</v>
      </c>
      <c r="H128" s="4">
        <f t="shared" si="3"/>
        <v>0.39939698492462322</v>
      </c>
    </row>
    <row r="129" spans="1:9" x14ac:dyDescent="0.35">
      <c r="A129" t="s">
        <v>139</v>
      </c>
      <c r="B129" t="s">
        <v>197</v>
      </c>
      <c r="C129">
        <v>2018</v>
      </c>
      <c r="D129">
        <v>11</v>
      </c>
      <c r="E129">
        <v>23.5</v>
      </c>
      <c r="F129">
        <v>213.33</v>
      </c>
      <c r="G129">
        <v>163.99</v>
      </c>
      <c r="H129" s="4">
        <f t="shared" si="3"/>
        <v>0.35119937362089826</v>
      </c>
    </row>
    <row r="130" spans="1:9" x14ac:dyDescent="0.35">
      <c r="A130" t="s">
        <v>140</v>
      </c>
      <c r="B130" t="s">
        <v>197</v>
      </c>
      <c r="C130">
        <v>2018</v>
      </c>
      <c r="D130">
        <v>9</v>
      </c>
      <c r="E130">
        <v>23.81</v>
      </c>
      <c r="F130">
        <v>156.52000000000001</v>
      </c>
      <c r="G130">
        <v>121.15</v>
      </c>
      <c r="H130" s="4">
        <f t="shared" si="3"/>
        <v>0.36336552290938978</v>
      </c>
    </row>
    <row r="131" spans="1:9" x14ac:dyDescent="0.35">
      <c r="A131" t="s">
        <v>141</v>
      </c>
      <c r="B131" t="s">
        <v>197</v>
      </c>
      <c r="C131">
        <v>2018</v>
      </c>
      <c r="D131">
        <v>53</v>
      </c>
      <c r="E131">
        <v>22.87</v>
      </c>
      <c r="F131">
        <v>226.91</v>
      </c>
      <c r="G131">
        <v>172.77</v>
      </c>
      <c r="H131" s="4">
        <f t="shared" si="3"/>
        <v>0.36117411607738481</v>
      </c>
    </row>
    <row r="132" spans="1:9" x14ac:dyDescent="0.35">
      <c r="A132" t="s">
        <v>142</v>
      </c>
      <c r="B132" t="s">
        <v>197</v>
      </c>
      <c r="C132">
        <v>2018</v>
      </c>
      <c r="D132">
        <v>39</v>
      </c>
      <c r="E132">
        <v>23.23</v>
      </c>
      <c r="F132">
        <v>187.47</v>
      </c>
      <c r="G132">
        <v>145.97999999999999</v>
      </c>
      <c r="H132" s="4">
        <f t="shared" si="3"/>
        <v>0.33800407331975585</v>
      </c>
    </row>
    <row r="133" spans="1:9" x14ac:dyDescent="0.35">
      <c r="A133" t="s">
        <v>143</v>
      </c>
      <c r="B133" t="s">
        <v>197</v>
      </c>
      <c r="C133">
        <v>2018</v>
      </c>
      <c r="D133">
        <v>48</v>
      </c>
      <c r="E133">
        <v>24.12</v>
      </c>
      <c r="F133">
        <v>167.25</v>
      </c>
      <c r="G133">
        <v>124.89</v>
      </c>
      <c r="H133" s="4">
        <f t="shared" si="3"/>
        <v>0.4203632033343257</v>
      </c>
    </row>
    <row r="134" spans="1:9" x14ac:dyDescent="0.35">
      <c r="A134" t="s">
        <v>144</v>
      </c>
      <c r="B134" t="s">
        <v>197</v>
      </c>
      <c r="C134">
        <v>2018</v>
      </c>
      <c r="D134">
        <v>23</v>
      </c>
      <c r="E134">
        <v>23.53</v>
      </c>
      <c r="F134">
        <v>225.38</v>
      </c>
      <c r="G134">
        <v>174.2</v>
      </c>
      <c r="H134" s="4">
        <f t="shared" si="3"/>
        <v>0.33968275038162882</v>
      </c>
    </row>
    <row r="135" spans="1:9" x14ac:dyDescent="0.35">
      <c r="A135" t="s">
        <v>145</v>
      </c>
      <c r="B135" t="s">
        <v>197</v>
      </c>
      <c r="C135">
        <v>2018</v>
      </c>
      <c r="D135">
        <v>51</v>
      </c>
      <c r="E135">
        <v>24.22</v>
      </c>
      <c r="F135">
        <v>216.46</v>
      </c>
      <c r="G135">
        <v>167.75</v>
      </c>
      <c r="H135" s="4">
        <f t="shared" si="3"/>
        <v>0.33937155995262319</v>
      </c>
    </row>
    <row r="136" spans="1:9" x14ac:dyDescent="0.35">
      <c r="A136" t="s">
        <v>146</v>
      </c>
      <c r="B136" t="s">
        <v>197</v>
      </c>
      <c r="C136">
        <v>2018</v>
      </c>
      <c r="D136">
        <v>53</v>
      </c>
      <c r="E136">
        <v>22.92</v>
      </c>
      <c r="F136">
        <v>226.6</v>
      </c>
      <c r="G136">
        <v>174.71</v>
      </c>
      <c r="H136" s="4">
        <f t="shared" si="3"/>
        <v>0.34185387706700032</v>
      </c>
    </row>
    <row r="137" spans="1:9" x14ac:dyDescent="0.35">
      <c r="A137" t="s">
        <v>147</v>
      </c>
      <c r="B137" t="s">
        <v>197</v>
      </c>
      <c r="C137">
        <v>2018</v>
      </c>
      <c r="D137">
        <v>11</v>
      </c>
      <c r="E137">
        <v>23.64</v>
      </c>
      <c r="F137">
        <v>177.9</v>
      </c>
      <c r="G137">
        <v>139.72999999999999</v>
      </c>
      <c r="H137" s="4">
        <f t="shared" si="3"/>
        <v>0.32879662330950127</v>
      </c>
    </row>
    <row r="138" spans="1:9" x14ac:dyDescent="0.35">
      <c r="A138" t="s">
        <v>148</v>
      </c>
      <c r="B138" t="s">
        <v>197</v>
      </c>
      <c r="C138">
        <v>2018</v>
      </c>
      <c r="D138">
        <v>66</v>
      </c>
      <c r="E138">
        <v>23.31</v>
      </c>
      <c r="F138">
        <v>225.18</v>
      </c>
      <c r="G138">
        <v>178.58</v>
      </c>
      <c r="H138" s="4">
        <f t="shared" si="3"/>
        <v>0.30012236748889026</v>
      </c>
    </row>
    <row r="139" spans="1:9" x14ac:dyDescent="0.35">
      <c r="A139" s="1" t="s">
        <v>193</v>
      </c>
      <c r="B139" t="s">
        <v>197</v>
      </c>
      <c r="C139">
        <v>2018</v>
      </c>
      <c r="D139" s="1" t="s">
        <v>191</v>
      </c>
      <c r="E139" s="1" t="s">
        <v>191</v>
      </c>
      <c r="F139" s="1" t="s">
        <v>191</v>
      </c>
      <c r="G139" s="1" t="s">
        <v>191</v>
      </c>
      <c r="H139" s="4" t="s">
        <v>191</v>
      </c>
      <c r="I139" t="s">
        <v>8</v>
      </c>
    </row>
    <row r="140" spans="1:9" x14ac:dyDescent="0.35">
      <c r="A140" t="s">
        <v>149</v>
      </c>
      <c r="B140" t="s">
        <v>197</v>
      </c>
      <c r="C140">
        <v>2018</v>
      </c>
      <c r="D140">
        <v>31</v>
      </c>
      <c r="E140">
        <v>23.33</v>
      </c>
      <c r="F140">
        <v>211.68</v>
      </c>
      <c r="G140">
        <v>159.65</v>
      </c>
      <c r="H140" s="4">
        <f t="shared" si="3"/>
        <v>0.38167546948356829</v>
      </c>
    </row>
    <row r="141" spans="1:9" x14ac:dyDescent="0.35">
      <c r="A141" t="s">
        <v>150</v>
      </c>
      <c r="B141" t="s">
        <v>197</v>
      </c>
      <c r="C141">
        <v>2018</v>
      </c>
      <c r="D141">
        <v>12</v>
      </c>
      <c r="E141">
        <v>24.8</v>
      </c>
      <c r="F141">
        <v>200.4</v>
      </c>
      <c r="G141">
        <v>152.22</v>
      </c>
      <c r="H141" s="4">
        <f t="shared" si="3"/>
        <v>0.37811960445769888</v>
      </c>
    </row>
    <row r="142" spans="1:9" x14ac:dyDescent="0.35">
      <c r="A142" t="s">
        <v>151</v>
      </c>
      <c r="B142" t="s">
        <v>197</v>
      </c>
      <c r="C142">
        <v>2018</v>
      </c>
      <c r="D142">
        <v>62</v>
      </c>
      <c r="E142">
        <v>23.75</v>
      </c>
      <c r="F142">
        <v>201.74</v>
      </c>
      <c r="G142">
        <v>154.82</v>
      </c>
      <c r="H142" s="4">
        <f t="shared" si="3"/>
        <v>0.35797665369649817</v>
      </c>
    </row>
    <row r="143" spans="1:9" x14ac:dyDescent="0.35">
      <c r="A143" t="s">
        <v>152</v>
      </c>
      <c r="B143" t="s">
        <v>197</v>
      </c>
      <c r="C143">
        <v>2018</v>
      </c>
      <c r="D143">
        <v>20</v>
      </c>
      <c r="E143">
        <v>23.11</v>
      </c>
      <c r="F143">
        <v>222.53</v>
      </c>
      <c r="G143">
        <v>171.09</v>
      </c>
      <c r="H143" s="4">
        <f t="shared" si="3"/>
        <v>0.34761454250574397</v>
      </c>
    </row>
    <row r="144" spans="1:9" x14ac:dyDescent="0.35">
      <c r="A144" t="s">
        <v>153</v>
      </c>
      <c r="B144" t="s">
        <v>197</v>
      </c>
      <c r="C144">
        <v>2018</v>
      </c>
      <c r="D144">
        <v>46</v>
      </c>
      <c r="E144">
        <v>23.63</v>
      </c>
      <c r="F144">
        <v>217.77</v>
      </c>
      <c r="G144">
        <v>170.91</v>
      </c>
      <c r="H144" s="4">
        <f t="shared" si="3"/>
        <v>0.31816947311243898</v>
      </c>
    </row>
    <row r="145" spans="1:8" x14ac:dyDescent="0.35">
      <c r="A145" t="s">
        <v>154</v>
      </c>
      <c r="B145" t="s">
        <v>197</v>
      </c>
      <c r="C145">
        <v>2018</v>
      </c>
      <c r="D145">
        <v>60</v>
      </c>
      <c r="E145">
        <v>23.92</v>
      </c>
      <c r="F145">
        <v>208.81</v>
      </c>
      <c r="G145">
        <v>158.29</v>
      </c>
      <c r="H145" s="4">
        <f t="shared" si="3"/>
        <v>0.37597678053136846</v>
      </c>
    </row>
    <row r="146" spans="1:8" x14ac:dyDescent="0.35">
      <c r="A146" t="s">
        <v>155</v>
      </c>
      <c r="B146" t="s">
        <v>197</v>
      </c>
      <c r="C146">
        <v>2018</v>
      </c>
      <c r="D146">
        <v>70</v>
      </c>
      <c r="E146">
        <v>27.6</v>
      </c>
      <c r="F146">
        <v>152.68</v>
      </c>
      <c r="G146">
        <v>122.02</v>
      </c>
      <c r="H146" s="4">
        <f t="shared" si="3"/>
        <v>0.32471933912306744</v>
      </c>
    </row>
    <row r="147" spans="1:8" x14ac:dyDescent="0.35">
      <c r="A147" t="s">
        <v>156</v>
      </c>
      <c r="B147" t="s">
        <v>197</v>
      </c>
      <c r="C147">
        <v>2018</v>
      </c>
      <c r="D147">
        <v>53</v>
      </c>
      <c r="E147">
        <v>22.89</v>
      </c>
      <c r="F147">
        <v>206.18</v>
      </c>
      <c r="G147">
        <v>159.30000000000001</v>
      </c>
      <c r="H147" s="4">
        <f t="shared" si="3"/>
        <v>0.34366981892823095</v>
      </c>
    </row>
    <row r="148" spans="1:8" x14ac:dyDescent="0.35">
      <c r="A148" t="s">
        <v>157</v>
      </c>
      <c r="B148" t="s">
        <v>197</v>
      </c>
      <c r="C148">
        <v>2018</v>
      </c>
      <c r="D148">
        <v>39</v>
      </c>
      <c r="E148">
        <v>23.21</v>
      </c>
      <c r="F148">
        <v>216.78</v>
      </c>
      <c r="G148">
        <v>169.72</v>
      </c>
      <c r="H148" s="4">
        <f t="shared" si="3"/>
        <v>0.32120674356699203</v>
      </c>
    </row>
    <row r="149" spans="1:8" x14ac:dyDescent="0.35">
      <c r="A149" t="s">
        <v>158</v>
      </c>
      <c r="B149" t="s">
        <v>197</v>
      </c>
      <c r="C149">
        <v>2018</v>
      </c>
      <c r="D149">
        <v>1</v>
      </c>
      <c r="E149">
        <v>24.02</v>
      </c>
      <c r="F149">
        <v>249.23</v>
      </c>
      <c r="G149">
        <v>195.61</v>
      </c>
      <c r="H149" s="4">
        <f t="shared" si="3"/>
        <v>0.31248907278978949</v>
      </c>
    </row>
    <row r="150" spans="1:8" x14ac:dyDescent="0.35">
      <c r="A150" t="s">
        <v>159</v>
      </c>
      <c r="B150" t="s">
        <v>197</v>
      </c>
      <c r="C150">
        <v>2018</v>
      </c>
      <c r="D150">
        <v>67</v>
      </c>
      <c r="E150">
        <v>23.67</v>
      </c>
      <c r="F150">
        <v>226.02</v>
      </c>
      <c r="G150">
        <v>180.37</v>
      </c>
      <c r="H150" s="4">
        <f t="shared" si="3"/>
        <v>0.29132099553286561</v>
      </c>
    </row>
    <row r="151" spans="1:8" x14ac:dyDescent="0.35">
      <c r="A151" t="s">
        <v>160</v>
      </c>
      <c r="B151" t="s">
        <v>197</v>
      </c>
      <c r="C151">
        <v>2018</v>
      </c>
      <c r="D151">
        <v>36</v>
      </c>
      <c r="E151">
        <v>23.84</v>
      </c>
      <c r="F151">
        <v>224.88</v>
      </c>
      <c r="G151">
        <v>175.4</v>
      </c>
      <c r="H151" s="4">
        <f t="shared" si="3"/>
        <v>0.32647136447611502</v>
      </c>
    </row>
    <row r="152" spans="1:8" x14ac:dyDescent="0.35">
      <c r="A152" t="s">
        <v>161</v>
      </c>
      <c r="B152" t="s">
        <v>197</v>
      </c>
      <c r="C152">
        <v>2018</v>
      </c>
      <c r="D152">
        <v>6</v>
      </c>
      <c r="E152">
        <v>22.84</v>
      </c>
      <c r="F152">
        <v>210.48</v>
      </c>
      <c r="G152">
        <v>161.94999999999999</v>
      </c>
      <c r="H152" s="4">
        <f t="shared" si="3"/>
        <v>0.34886061390266698</v>
      </c>
    </row>
    <row r="153" spans="1:8" x14ac:dyDescent="0.35">
      <c r="A153" t="s">
        <v>162</v>
      </c>
      <c r="B153" t="s">
        <v>197</v>
      </c>
      <c r="C153">
        <v>2018</v>
      </c>
      <c r="D153">
        <v>54</v>
      </c>
      <c r="E153">
        <v>22.71</v>
      </c>
      <c r="F153">
        <v>213.13</v>
      </c>
      <c r="G153">
        <v>164.8</v>
      </c>
      <c r="H153" s="4">
        <f t="shared" si="3"/>
        <v>0.34013653318319365</v>
      </c>
    </row>
    <row r="154" spans="1:8" x14ac:dyDescent="0.35">
      <c r="A154" t="s">
        <v>163</v>
      </c>
      <c r="B154" t="s">
        <v>197</v>
      </c>
      <c r="C154">
        <v>2018</v>
      </c>
      <c r="D154">
        <v>25</v>
      </c>
      <c r="E154">
        <v>24.87</v>
      </c>
      <c r="F154">
        <v>225.89</v>
      </c>
      <c r="G154">
        <v>177.89</v>
      </c>
      <c r="H154" s="4">
        <f t="shared" si="3"/>
        <v>0.31368448568814539</v>
      </c>
    </row>
    <row r="155" spans="1:8" x14ac:dyDescent="0.35">
      <c r="A155" t="s">
        <v>164</v>
      </c>
      <c r="B155" t="s">
        <v>197</v>
      </c>
      <c r="C155">
        <v>2018</v>
      </c>
      <c r="D155">
        <v>37</v>
      </c>
      <c r="E155">
        <v>23.62</v>
      </c>
      <c r="F155">
        <v>206.73</v>
      </c>
      <c r="G155">
        <v>162.4</v>
      </c>
      <c r="H155" s="4">
        <f t="shared" si="3"/>
        <v>0.31942643032137186</v>
      </c>
    </row>
    <row r="156" spans="1:8" x14ac:dyDescent="0.35">
      <c r="A156" t="s">
        <v>165</v>
      </c>
      <c r="B156" t="s">
        <v>197</v>
      </c>
      <c r="C156">
        <v>2018</v>
      </c>
      <c r="D156">
        <v>43</v>
      </c>
      <c r="E156">
        <v>24.46</v>
      </c>
      <c r="F156">
        <v>162.63</v>
      </c>
      <c r="G156">
        <v>127.22</v>
      </c>
      <c r="H156" s="4">
        <f t="shared" si="3"/>
        <v>0.3445893343713507</v>
      </c>
    </row>
    <row r="157" spans="1:8" x14ac:dyDescent="0.35">
      <c r="A157" t="s">
        <v>166</v>
      </c>
      <c r="B157" t="s">
        <v>197</v>
      </c>
      <c r="C157">
        <v>2018</v>
      </c>
      <c r="D157">
        <v>6</v>
      </c>
      <c r="E157">
        <v>22.94</v>
      </c>
      <c r="F157">
        <v>189.25</v>
      </c>
      <c r="G157">
        <v>146.15</v>
      </c>
      <c r="H157" s="4">
        <f t="shared" si="3"/>
        <v>0.34980926872818757</v>
      </c>
    </row>
    <row r="158" spans="1:8" x14ac:dyDescent="0.35">
      <c r="A158" t="s">
        <v>167</v>
      </c>
      <c r="B158" t="s">
        <v>197</v>
      </c>
      <c r="C158">
        <v>2018</v>
      </c>
      <c r="D158">
        <v>61</v>
      </c>
      <c r="E158">
        <v>23.51</v>
      </c>
      <c r="F158">
        <v>199.23</v>
      </c>
      <c r="G158">
        <v>154.56</v>
      </c>
      <c r="H158" s="4">
        <f t="shared" si="3"/>
        <v>0.34086226631056837</v>
      </c>
    </row>
    <row r="159" spans="1:8" x14ac:dyDescent="0.35">
      <c r="A159" t="s">
        <v>168</v>
      </c>
      <c r="B159" t="s">
        <v>197</v>
      </c>
      <c r="C159">
        <v>2018</v>
      </c>
      <c r="D159">
        <v>46</v>
      </c>
      <c r="E159">
        <v>23.61</v>
      </c>
      <c r="F159">
        <v>147.27000000000001</v>
      </c>
      <c r="G159">
        <v>114.96</v>
      </c>
      <c r="H159" s="4">
        <f t="shared" si="3"/>
        <v>0.3536945812807884</v>
      </c>
    </row>
    <row r="160" spans="1:8" x14ac:dyDescent="0.35">
      <c r="A160" t="s">
        <v>169</v>
      </c>
      <c r="B160" t="s">
        <v>197</v>
      </c>
      <c r="C160">
        <v>2018</v>
      </c>
      <c r="D160">
        <v>2</v>
      </c>
      <c r="E160">
        <v>25</v>
      </c>
      <c r="F160">
        <v>222.11</v>
      </c>
      <c r="G160">
        <v>172.47</v>
      </c>
      <c r="H160" s="4">
        <f t="shared" si="3"/>
        <v>0.33661083610225817</v>
      </c>
    </row>
    <row r="161" spans="1:9" x14ac:dyDescent="0.35">
      <c r="A161" t="s">
        <v>170</v>
      </c>
      <c r="B161" t="s">
        <v>197</v>
      </c>
      <c r="C161">
        <v>2018</v>
      </c>
      <c r="D161">
        <v>48</v>
      </c>
      <c r="E161">
        <v>24.01</v>
      </c>
      <c r="F161">
        <v>219.91</v>
      </c>
      <c r="G161">
        <v>169.18</v>
      </c>
      <c r="H161" s="4">
        <f t="shared" si="3"/>
        <v>0.34945236619136172</v>
      </c>
    </row>
    <row r="162" spans="1:9" x14ac:dyDescent="0.35">
      <c r="A162" t="s">
        <v>171</v>
      </c>
      <c r="B162" t="s">
        <v>197</v>
      </c>
      <c r="C162">
        <v>2018</v>
      </c>
      <c r="D162">
        <v>24</v>
      </c>
      <c r="E162">
        <v>27.37</v>
      </c>
      <c r="F162">
        <v>204.87</v>
      </c>
      <c r="G162">
        <v>161.35</v>
      </c>
      <c r="H162" s="4">
        <f t="shared" si="3"/>
        <v>0.32482460068666974</v>
      </c>
    </row>
    <row r="163" spans="1:9" x14ac:dyDescent="0.35">
      <c r="A163" t="s">
        <v>172</v>
      </c>
      <c r="B163" t="s">
        <v>197</v>
      </c>
      <c r="C163">
        <v>2018</v>
      </c>
      <c r="D163">
        <v>12</v>
      </c>
      <c r="E163">
        <v>24.8</v>
      </c>
      <c r="F163">
        <v>228.27</v>
      </c>
      <c r="G163">
        <v>181.46</v>
      </c>
      <c r="H163" s="4">
        <f t="shared" si="3"/>
        <v>0.29879994893399719</v>
      </c>
    </row>
    <row r="164" spans="1:9" x14ac:dyDescent="0.35">
      <c r="A164" t="s">
        <v>173</v>
      </c>
      <c r="B164" t="s">
        <v>197</v>
      </c>
      <c r="C164">
        <v>2018</v>
      </c>
      <c r="D164">
        <v>63</v>
      </c>
      <c r="E164">
        <v>23.42</v>
      </c>
      <c r="F164">
        <v>159.46</v>
      </c>
      <c r="G164">
        <v>125.57</v>
      </c>
      <c r="H164" s="4">
        <f t="shared" si="3"/>
        <v>0.33176700930004926</v>
      </c>
    </row>
    <row r="165" spans="1:9" x14ac:dyDescent="0.35">
      <c r="A165" s="1" t="s">
        <v>192</v>
      </c>
      <c r="B165" t="s">
        <v>197</v>
      </c>
      <c r="C165">
        <v>2018</v>
      </c>
      <c r="D165" s="1" t="s">
        <v>191</v>
      </c>
      <c r="E165" s="1" t="s">
        <v>191</v>
      </c>
      <c r="F165" s="1" t="s">
        <v>191</v>
      </c>
      <c r="G165" s="1" t="s">
        <v>191</v>
      </c>
      <c r="H165" s="4" t="s">
        <v>191</v>
      </c>
      <c r="I165" t="s">
        <v>8</v>
      </c>
    </row>
    <row r="166" spans="1:9" x14ac:dyDescent="0.35">
      <c r="A166" t="s">
        <v>174</v>
      </c>
      <c r="B166" t="s">
        <v>197</v>
      </c>
      <c r="C166">
        <v>2018</v>
      </c>
      <c r="D166">
        <v>54</v>
      </c>
      <c r="E166">
        <v>22.73</v>
      </c>
      <c r="F166">
        <v>231.13</v>
      </c>
      <c r="G166">
        <v>180.68</v>
      </c>
      <c r="H166" s="4">
        <f t="shared" si="3"/>
        <v>0.31940487496043041</v>
      </c>
    </row>
    <row r="167" spans="1:9" x14ac:dyDescent="0.35">
      <c r="A167" t="s">
        <v>175</v>
      </c>
      <c r="B167" t="s">
        <v>197</v>
      </c>
      <c r="C167">
        <v>2018</v>
      </c>
      <c r="D167">
        <v>45</v>
      </c>
      <c r="E167">
        <v>23.81</v>
      </c>
      <c r="F167">
        <v>208.7</v>
      </c>
      <c r="G167">
        <v>163.5</v>
      </c>
      <c r="H167" s="4">
        <f t="shared" si="3"/>
        <v>0.32357362731763184</v>
      </c>
    </row>
    <row r="168" spans="1:9" x14ac:dyDescent="0.35">
      <c r="A168" t="s">
        <v>176</v>
      </c>
      <c r="B168" t="s">
        <v>197</v>
      </c>
      <c r="C168">
        <v>2018</v>
      </c>
      <c r="D168">
        <v>57</v>
      </c>
      <c r="E168">
        <v>23.38</v>
      </c>
      <c r="F168">
        <v>186.22</v>
      </c>
      <c r="G168">
        <v>141.99</v>
      </c>
      <c r="H168" s="4">
        <f t="shared" si="3"/>
        <v>0.37290279065846038</v>
      </c>
    </row>
    <row r="169" spans="1:9" x14ac:dyDescent="0.35">
      <c r="A169" t="s">
        <v>177</v>
      </c>
      <c r="B169" t="s">
        <v>197</v>
      </c>
      <c r="C169">
        <v>2018</v>
      </c>
      <c r="D169">
        <v>47</v>
      </c>
      <c r="E169">
        <v>23.23</v>
      </c>
      <c r="F169">
        <v>164.6</v>
      </c>
      <c r="G169">
        <v>128.32</v>
      </c>
      <c r="H169" s="4">
        <f t="shared" si="3"/>
        <v>0.34522789989532798</v>
      </c>
    </row>
    <row r="170" spans="1:9" x14ac:dyDescent="0.35">
      <c r="A170" t="s">
        <v>178</v>
      </c>
      <c r="B170" t="s">
        <v>197</v>
      </c>
      <c r="C170">
        <v>2018</v>
      </c>
      <c r="D170">
        <v>46</v>
      </c>
      <c r="E170">
        <v>23.84</v>
      </c>
      <c r="F170">
        <v>168.61</v>
      </c>
      <c r="G170">
        <v>132.57</v>
      </c>
      <c r="H170" s="4">
        <f t="shared" si="3"/>
        <v>0.33146325761059525</v>
      </c>
    </row>
    <row r="171" spans="1:9" x14ac:dyDescent="0.35">
      <c r="A171" t="s">
        <v>179</v>
      </c>
      <c r="B171" t="s">
        <v>197</v>
      </c>
      <c r="C171">
        <v>2018</v>
      </c>
      <c r="D171">
        <v>8</v>
      </c>
      <c r="E171">
        <v>23.15</v>
      </c>
      <c r="F171">
        <v>218.07</v>
      </c>
      <c r="G171">
        <v>169.71</v>
      </c>
      <c r="H171" s="4">
        <f t="shared" si="3"/>
        <v>0.32996724890829682</v>
      </c>
    </row>
    <row r="172" spans="1:9" x14ac:dyDescent="0.35">
      <c r="A172" t="s">
        <v>180</v>
      </c>
      <c r="B172" t="s">
        <v>197</v>
      </c>
      <c r="C172">
        <v>2018</v>
      </c>
      <c r="D172">
        <v>59</v>
      </c>
      <c r="E172">
        <v>22.67</v>
      </c>
      <c r="F172">
        <v>227.29</v>
      </c>
      <c r="G172">
        <v>176.79</v>
      </c>
      <c r="H172" s="4">
        <f t="shared" si="3"/>
        <v>0.32766675317934074</v>
      </c>
    </row>
    <row r="173" spans="1:9" x14ac:dyDescent="0.35">
      <c r="A173" t="s">
        <v>181</v>
      </c>
      <c r="B173" t="s">
        <v>197</v>
      </c>
      <c r="C173">
        <v>2018</v>
      </c>
      <c r="D173">
        <v>13</v>
      </c>
      <c r="E173">
        <v>24.23</v>
      </c>
      <c r="F173">
        <v>201.16</v>
      </c>
      <c r="G173">
        <v>157.16</v>
      </c>
      <c r="H173" s="4">
        <f t="shared" si="3"/>
        <v>0.33100127886857744</v>
      </c>
    </row>
    <row r="174" spans="1:9" x14ac:dyDescent="0.35">
      <c r="A174" t="s">
        <v>182</v>
      </c>
      <c r="B174" t="s">
        <v>197</v>
      </c>
      <c r="C174">
        <v>2018</v>
      </c>
      <c r="D174">
        <v>5</v>
      </c>
      <c r="E174">
        <v>25.26</v>
      </c>
      <c r="F174">
        <v>204.31</v>
      </c>
      <c r="G174">
        <v>161.82</v>
      </c>
      <c r="H174" s="4">
        <f t="shared" si="3"/>
        <v>0.31114528412419457</v>
      </c>
    </row>
    <row r="175" spans="1:9" x14ac:dyDescent="0.35">
      <c r="A175" t="s">
        <v>183</v>
      </c>
      <c r="B175" t="s">
        <v>197</v>
      </c>
      <c r="C175">
        <v>2018</v>
      </c>
      <c r="D175">
        <v>44</v>
      </c>
      <c r="E175">
        <v>23.85</v>
      </c>
      <c r="F175">
        <v>217.18</v>
      </c>
      <c r="G175">
        <v>171.82</v>
      </c>
      <c r="H175" s="4">
        <f t="shared" si="3"/>
        <v>0.30654862472122735</v>
      </c>
    </row>
    <row r="176" spans="1:9" x14ac:dyDescent="0.35">
      <c r="A176" t="s">
        <v>184</v>
      </c>
      <c r="B176" t="s">
        <v>197</v>
      </c>
      <c r="C176">
        <v>2018</v>
      </c>
      <c r="D176">
        <v>17</v>
      </c>
      <c r="E176">
        <v>24.55</v>
      </c>
      <c r="F176">
        <v>203.92</v>
      </c>
      <c r="G176">
        <v>158.47</v>
      </c>
      <c r="H176" s="4">
        <f t="shared" si="3"/>
        <v>0.33938172043010745</v>
      </c>
    </row>
    <row r="177" spans="1:8" x14ac:dyDescent="0.35">
      <c r="A177" t="s">
        <v>185</v>
      </c>
      <c r="B177" t="s">
        <v>197</v>
      </c>
      <c r="C177">
        <v>2018</v>
      </c>
      <c r="D177">
        <v>39</v>
      </c>
      <c r="E177">
        <v>23.34</v>
      </c>
      <c r="F177">
        <v>176.26</v>
      </c>
      <c r="G177">
        <v>138.97</v>
      </c>
      <c r="H177" s="4">
        <f t="shared" si="3"/>
        <v>0.32249416241459822</v>
      </c>
    </row>
    <row r="178" spans="1:8" x14ac:dyDescent="0.35">
      <c r="A178" t="s">
        <v>186</v>
      </c>
      <c r="B178" t="s">
        <v>197</v>
      </c>
      <c r="C178">
        <v>2018</v>
      </c>
      <c r="D178">
        <v>44</v>
      </c>
      <c r="E178">
        <v>24</v>
      </c>
      <c r="F178">
        <v>199.76</v>
      </c>
      <c r="G178">
        <v>159.75</v>
      </c>
      <c r="H178" s="4">
        <f t="shared" si="3"/>
        <v>0.29473296500920804</v>
      </c>
    </row>
    <row r="179" spans="1:8" x14ac:dyDescent="0.35">
      <c r="A179" t="s">
        <v>187</v>
      </c>
      <c r="B179" t="s">
        <v>197</v>
      </c>
      <c r="C179">
        <v>2018</v>
      </c>
      <c r="D179">
        <v>17</v>
      </c>
      <c r="E179">
        <v>24.57</v>
      </c>
      <c r="F179">
        <v>216.59</v>
      </c>
      <c r="G179">
        <v>167.98</v>
      </c>
      <c r="H179" s="4">
        <f t="shared" si="3"/>
        <v>0.33895823164353961</v>
      </c>
    </row>
    <row r="180" spans="1:8" x14ac:dyDescent="0.35">
      <c r="A180" t="s">
        <v>188</v>
      </c>
      <c r="B180" t="s">
        <v>197</v>
      </c>
      <c r="C180">
        <v>2018</v>
      </c>
      <c r="D180">
        <v>69</v>
      </c>
      <c r="E180">
        <v>24.53</v>
      </c>
      <c r="F180">
        <v>165.15</v>
      </c>
      <c r="G180">
        <v>129.94</v>
      </c>
      <c r="H180" s="4">
        <f t="shared" si="3"/>
        <v>0.33402902950384222</v>
      </c>
    </row>
    <row r="181" spans="1:8" x14ac:dyDescent="0.35">
      <c r="A181" t="s">
        <v>189</v>
      </c>
      <c r="B181" t="s">
        <v>197</v>
      </c>
      <c r="C181">
        <v>2018</v>
      </c>
      <c r="D181">
        <v>55</v>
      </c>
      <c r="E181">
        <v>23.96</v>
      </c>
      <c r="F181">
        <v>223.64</v>
      </c>
      <c r="G181">
        <v>178.59</v>
      </c>
      <c r="H181" s="4">
        <f t="shared" si="3"/>
        <v>0.29134061954342616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61"/>
  <sheetViews>
    <sheetView topLeftCell="A38" workbookViewId="0">
      <selection activeCell="A2" sqref="A2:I61"/>
    </sheetView>
  </sheetViews>
  <sheetFormatPr baseColWidth="10" defaultColWidth="8.7265625" defaultRowHeight="14.5" x14ac:dyDescent="0.35"/>
  <cols>
    <col min="1" max="1" width="21.7265625" bestFit="1" customWidth="1"/>
    <col min="2" max="2" width="21.7265625" customWidth="1"/>
    <col min="8" max="8" width="12" style="4" bestFit="1" customWidth="1"/>
    <col min="9" max="9" width="111.6328125" bestFit="1" customWidth="1"/>
  </cols>
  <sheetData>
    <row r="1" spans="1:13" x14ac:dyDescent="0.35">
      <c r="A1" s="2" t="s">
        <v>11</v>
      </c>
      <c r="B1" s="2" t="s">
        <v>194</v>
      </c>
      <c r="C1" s="2" t="s">
        <v>10</v>
      </c>
      <c r="D1" s="2" t="s">
        <v>190</v>
      </c>
      <c r="E1" s="3" t="s">
        <v>0</v>
      </c>
      <c r="F1" s="3" t="s">
        <v>1</v>
      </c>
      <c r="G1" s="3" t="s">
        <v>2</v>
      </c>
      <c r="H1" s="3" t="s">
        <v>4</v>
      </c>
      <c r="I1" s="5" t="s">
        <v>3</v>
      </c>
      <c r="K1" s="2"/>
      <c r="L1" s="2"/>
      <c r="M1" s="2"/>
    </row>
    <row r="2" spans="1:13" x14ac:dyDescent="0.35">
      <c r="A2" t="s">
        <v>72</v>
      </c>
      <c r="B2" t="s">
        <v>196</v>
      </c>
      <c r="C2">
        <v>2018</v>
      </c>
      <c r="D2">
        <v>64</v>
      </c>
      <c r="E2">
        <v>23.07</v>
      </c>
      <c r="F2">
        <v>204.06</v>
      </c>
      <c r="G2">
        <v>153.18</v>
      </c>
      <c r="H2" s="4">
        <f t="shared" ref="H2:H33" si="0">((F2-E2)-(G2-E2))/(G2-E2)</f>
        <v>0.39105372377219266</v>
      </c>
      <c r="K2" s="4"/>
      <c r="L2" s="4"/>
      <c r="M2" s="4"/>
    </row>
    <row r="3" spans="1:13" x14ac:dyDescent="0.35">
      <c r="A3" t="s">
        <v>73</v>
      </c>
      <c r="B3" t="s">
        <v>196</v>
      </c>
      <c r="C3">
        <v>2018</v>
      </c>
      <c r="D3">
        <v>60</v>
      </c>
      <c r="E3">
        <v>24.1</v>
      </c>
      <c r="F3">
        <v>205.28</v>
      </c>
      <c r="G3">
        <v>148.53</v>
      </c>
      <c r="H3" s="4">
        <f t="shared" si="0"/>
        <v>0.45607972353933934</v>
      </c>
    </row>
    <row r="4" spans="1:13" x14ac:dyDescent="0.35">
      <c r="A4" t="s">
        <v>74</v>
      </c>
      <c r="B4" t="s">
        <v>196</v>
      </c>
      <c r="C4">
        <v>2018</v>
      </c>
      <c r="D4">
        <v>23</v>
      </c>
      <c r="E4">
        <v>23.53</v>
      </c>
      <c r="F4">
        <v>198.62</v>
      </c>
      <c r="G4">
        <v>144.13999999999999</v>
      </c>
      <c r="H4" s="4">
        <f t="shared" si="0"/>
        <v>0.45170383881933523</v>
      </c>
    </row>
    <row r="5" spans="1:13" x14ac:dyDescent="0.35">
      <c r="A5" t="s">
        <v>75</v>
      </c>
      <c r="B5" t="s">
        <v>196</v>
      </c>
      <c r="C5">
        <v>2018</v>
      </c>
      <c r="D5">
        <v>34</v>
      </c>
      <c r="E5">
        <v>23.02</v>
      </c>
      <c r="F5">
        <v>229.88</v>
      </c>
      <c r="G5">
        <v>168.23</v>
      </c>
      <c r="H5" s="4">
        <f t="shared" si="0"/>
        <v>0.42455753735968604</v>
      </c>
    </row>
    <row r="6" spans="1:13" x14ac:dyDescent="0.35">
      <c r="A6" t="s">
        <v>76</v>
      </c>
      <c r="B6" t="s">
        <v>196</v>
      </c>
      <c r="C6">
        <v>2018</v>
      </c>
      <c r="D6">
        <v>72</v>
      </c>
      <c r="E6">
        <v>23.56</v>
      </c>
      <c r="F6">
        <v>208.54</v>
      </c>
      <c r="G6">
        <v>153.86000000000001</v>
      </c>
      <c r="H6" s="4">
        <f t="shared" si="0"/>
        <v>0.41964696853415173</v>
      </c>
    </row>
    <row r="7" spans="1:13" x14ac:dyDescent="0.35">
      <c r="A7" t="s">
        <v>77</v>
      </c>
      <c r="B7" t="s">
        <v>196</v>
      </c>
      <c r="C7">
        <v>2018</v>
      </c>
      <c r="D7">
        <v>48</v>
      </c>
      <c r="E7">
        <v>24.09</v>
      </c>
      <c r="F7">
        <v>198.28</v>
      </c>
      <c r="G7">
        <v>143.11000000000001</v>
      </c>
      <c r="H7" s="4">
        <f t="shared" si="0"/>
        <v>0.46353554024533677</v>
      </c>
    </row>
    <row r="8" spans="1:13" x14ac:dyDescent="0.35">
      <c r="A8" t="s">
        <v>78</v>
      </c>
      <c r="B8" t="s">
        <v>196</v>
      </c>
      <c r="C8">
        <v>2018</v>
      </c>
      <c r="D8">
        <v>70</v>
      </c>
      <c r="E8">
        <v>23.18</v>
      </c>
      <c r="F8">
        <v>170.19</v>
      </c>
      <c r="G8">
        <v>124.76</v>
      </c>
      <c r="H8" s="4">
        <f t="shared" si="0"/>
        <v>0.44723370742272073</v>
      </c>
    </row>
    <row r="9" spans="1:13" x14ac:dyDescent="0.35">
      <c r="A9" t="s">
        <v>79</v>
      </c>
      <c r="B9" t="s">
        <v>196</v>
      </c>
      <c r="C9">
        <v>2018</v>
      </c>
      <c r="D9">
        <v>62</v>
      </c>
      <c r="E9">
        <v>23.6</v>
      </c>
      <c r="F9">
        <v>199.75</v>
      </c>
      <c r="G9">
        <v>148.33000000000001</v>
      </c>
      <c r="H9" s="4">
        <f t="shared" si="0"/>
        <v>0.41225046099575063</v>
      </c>
    </row>
    <row r="10" spans="1:13" x14ac:dyDescent="0.35">
      <c r="A10" t="s">
        <v>80</v>
      </c>
      <c r="B10" t="s">
        <v>196</v>
      </c>
      <c r="C10">
        <v>2018</v>
      </c>
      <c r="D10">
        <v>54</v>
      </c>
      <c r="E10">
        <v>22.88</v>
      </c>
      <c r="F10">
        <v>209.7</v>
      </c>
      <c r="G10">
        <v>152.41999999999999</v>
      </c>
      <c r="H10" s="4">
        <f t="shared" si="0"/>
        <v>0.44218002161494524</v>
      </c>
    </row>
    <row r="11" spans="1:13" x14ac:dyDescent="0.35">
      <c r="A11" t="s">
        <v>81</v>
      </c>
      <c r="B11" t="s">
        <v>196</v>
      </c>
      <c r="C11">
        <v>2018</v>
      </c>
      <c r="D11">
        <v>40</v>
      </c>
      <c r="E11">
        <v>24.07</v>
      </c>
      <c r="F11">
        <v>149.99</v>
      </c>
      <c r="G11">
        <v>115.54</v>
      </c>
      <c r="H11" s="4">
        <f t="shared" si="0"/>
        <v>0.37662621624576381</v>
      </c>
    </row>
    <row r="12" spans="1:13" x14ac:dyDescent="0.35">
      <c r="A12" t="s">
        <v>82</v>
      </c>
      <c r="B12" t="s">
        <v>196</v>
      </c>
      <c r="C12">
        <v>2018</v>
      </c>
      <c r="D12">
        <v>30</v>
      </c>
      <c r="E12">
        <v>23.03</v>
      </c>
      <c r="F12">
        <v>234.04</v>
      </c>
      <c r="G12">
        <v>174.73</v>
      </c>
      <c r="H12" s="4">
        <f t="shared" si="0"/>
        <v>0.39096901779828613</v>
      </c>
    </row>
    <row r="13" spans="1:13" x14ac:dyDescent="0.35">
      <c r="A13" t="s">
        <v>83</v>
      </c>
      <c r="B13" t="s">
        <v>196</v>
      </c>
      <c r="C13">
        <v>2018</v>
      </c>
      <c r="D13">
        <v>25</v>
      </c>
      <c r="E13">
        <v>24.89</v>
      </c>
      <c r="F13">
        <v>225.71</v>
      </c>
      <c r="G13">
        <v>163.59</v>
      </c>
      <c r="H13" s="4">
        <f t="shared" si="0"/>
        <v>0.44787310742609954</v>
      </c>
    </row>
    <row r="14" spans="1:13" x14ac:dyDescent="0.35">
      <c r="A14" t="s">
        <v>84</v>
      </c>
      <c r="B14" t="s">
        <v>196</v>
      </c>
      <c r="C14">
        <v>2018</v>
      </c>
      <c r="D14">
        <v>31</v>
      </c>
      <c r="E14">
        <v>27.83</v>
      </c>
      <c r="F14">
        <v>188.72</v>
      </c>
      <c r="G14">
        <v>142.72</v>
      </c>
      <c r="H14" s="4">
        <f t="shared" si="0"/>
        <v>0.40038297501958381</v>
      </c>
      <c r="I14" t="s">
        <v>7</v>
      </c>
    </row>
    <row r="15" spans="1:13" x14ac:dyDescent="0.35">
      <c r="A15" t="s">
        <v>85</v>
      </c>
      <c r="B15" t="s">
        <v>196</v>
      </c>
      <c r="C15">
        <v>2018</v>
      </c>
      <c r="D15">
        <v>39</v>
      </c>
      <c r="E15">
        <v>23.24</v>
      </c>
      <c r="F15">
        <v>195.17</v>
      </c>
      <c r="G15">
        <v>142.6</v>
      </c>
      <c r="H15" s="4">
        <f t="shared" si="0"/>
        <v>0.44043230563002661</v>
      </c>
    </row>
    <row r="16" spans="1:13" x14ac:dyDescent="0.35">
      <c r="A16" t="s">
        <v>86</v>
      </c>
      <c r="B16" t="s">
        <v>196</v>
      </c>
      <c r="C16">
        <v>2018</v>
      </c>
      <c r="D16">
        <v>69</v>
      </c>
      <c r="E16">
        <v>24.51</v>
      </c>
      <c r="F16">
        <v>174.13</v>
      </c>
      <c r="G16">
        <v>128.38</v>
      </c>
      <c r="H16" s="4">
        <f t="shared" si="0"/>
        <v>0.44045441417156078</v>
      </c>
    </row>
    <row r="17" spans="1:8" x14ac:dyDescent="0.35">
      <c r="A17" t="s">
        <v>87</v>
      </c>
      <c r="B17" t="s">
        <v>196</v>
      </c>
      <c r="C17">
        <v>2018</v>
      </c>
      <c r="D17">
        <v>58</v>
      </c>
      <c r="E17">
        <v>23.16</v>
      </c>
      <c r="F17">
        <v>211.46</v>
      </c>
      <c r="G17">
        <v>157</v>
      </c>
      <c r="H17" s="4">
        <f t="shared" si="0"/>
        <v>0.40690376569037662</v>
      </c>
    </row>
    <row r="18" spans="1:8" x14ac:dyDescent="0.35">
      <c r="A18" t="s">
        <v>88</v>
      </c>
      <c r="B18" t="s">
        <v>196</v>
      </c>
      <c r="C18">
        <v>2018</v>
      </c>
      <c r="D18">
        <v>33</v>
      </c>
      <c r="E18">
        <v>25.09</v>
      </c>
      <c r="F18">
        <v>205.22</v>
      </c>
      <c r="G18">
        <v>151.87</v>
      </c>
      <c r="H18" s="4">
        <f t="shared" si="0"/>
        <v>0.42080769837513798</v>
      </c>
    </row>
    <row r="19" spans="1:8" x14ac:dyDescent="0.35">
      <c r="A19" t="s">
        <v>89</v>
      </c>
      <c r="B19" t="s">
        <v>196</v>
      </c>
      <c r="C19">
        <v>2018</v>
      </c>
      <c r="D19">
        <v>40</v>
      </c>
      <c r="E19">
        <v>23.95</v>
      </c>
      <c r="F19">
        <v>216.77</v>
      </c>
      <c r="G19">
        <v>159.4</v>
      </c>
      <c r="H19" s="4">
        <f t="shared" si="0"/>
        <v>0.42355112587670724</v>
      </c>
    </row>
    <row r="20" spans="1:8" x14ac:dyDescent="0.35">
      <c r="A20" t="s">
        <v>90</v>
      </c>
      <c r="B20" t="s">
        <v>196</v>
      </c>
      <c r="C20">
        <v>2018</v>
      </c>
      <c r="D20">
        <v>33</v>
      </c>
      <c r="E20">
        <v>25.25</v>
      </c>
      <c r="F20">
        <v>210.4</v>
      </c>
      <c r="G20">
        <v>155.51</v>
      </c>
      <c r="H20" s="4">
        <f t="shared" si="0"/>
        <v>0.42138799324428083</v>
      </c>
    </row>
    <row r="21" spans="1:8" x14ac:dyDescent="0.35">
      <c r="A21" t="s">
        <v>91</v>
      </c>
      <c r="B21" t="s">
        <v>196</v>
      </c>
      <c r="C21">
        <v>2018</v>
      </c>
      <c r="D21">
        <v>1</v>
      </c>
      <c r="E21">
        <v>23.96</v>
      </c>
      <c r="F21">
        <v>212.27</v>
      </c>
      <c r="G21">
        <v>159.38999999999999</v>
      </c>
      <c r="H21" s="4">
        <f t="shared" si="0"/>
        <v>0.39046001624455462</v>
      </c>
    </row>
    <row r="22" spans="1:8" x14ac:dyDescent="0.35">
      <c r="A22" t="s">
        <v>92</v>
      </c>
      <c r="B22" t="s">
        <v>196</v>
      </c>
      <c r="C22">
        <v>2018</v>
      </c>
      <c r="D22">
        <v>61</v>
      </c>
      <c r="E22">
        <v>23.51</v>
      </c>
      <c r="F22">
        <v>214.48</v>
      </c>
      <c r="G22">
        <v>159.05000000000001</v>
      </c>
      <c r="H22" s="4">
        <f t="shared" si="0"/>
        <v>0.4089567655304705</v>
      </c>
    </row>
    <row r="23" spans="1:8" x14ac:dyDescent="0.35">
      <c r="A23" t="s">
        <v>93</v>
      </c>
      <c r="B23" t="s">
        <v>196</v>
      </c>
      <c r="C23">
        <v>2018</v>
      </c>
      <c r="D23">
        <v>6</v>
      </c>
      <c r="E23">
        <v>22.89</v>
      </c>
      <c r="F23">
        <v>211.26</v>
      </c>
      <c r="G23">
        <v>153.09</v>
      </c>
      <c r="H23" s="4">
        <f t="shared" si="0"/>
        <v>0.44677419354838727</v>
      </c>
    </row>
    <row r="24" spans="1:8" x14ac:dyDescent="0.35">
      <c r="A24" t="s">
        <v>94</v>
      </c>
      <c r="B24" t="s">
        <v>196</v>
      </c>
      <c r="C24">
        <v>2018</v>
      </c>
      <c r="D24">
        <v>26</v>
      </c>
      <c r="E24">
        <v>23.27</v>
      </c>
      <c r="F24">
        <v>205.45</v>
      </c>
      <c r="G24">
        <v>151.99</v>
      </c>
      <c r="H24" s="4">
        <f t="shared" si="0"/>
        <v>0.41532007458048464</v>
      </c>
    </row>
    <row r="25" spans="1:8" x14ac:dyDescent="0.35">
      <c r="A25" t="s">
        <v>95</v>
      </c>
      <c r="B25" t="s">
        <v>196</v>
      </c>
      <c r="C25">
        <v>2018</v>
      </c>
      <c r="D25">
        <v>44</v>
      </c>
      <c r="E25">
        <v>23.89</v>
      </c>
      <c r="F25">
        <v>204.19</v>
      </c>
      <c r="G25">
        <v>153.82</v>
      </c>
      <c r="H25" s="4">
        <f t="shared" si="0"/>
        <v>0.38767028399907644</v>
      </c>
    </row>
    <row r="26" spans="1:8" x14ac:dyDescent="0.35">
      <c r="A26" t="s">
        <v>96</v>
      </c>
      <c r="B26" t="s">
        <v>196</v>
      </c>
      <c r="C26">
        <v>2018</v>
      </c>
      <c r="D26">
        <v>21</v>
      </c>
      <c r="E26">
        <v>23.24</v>
      </c>
      <c r="F26">
        <v>213.47</v>
      </c>
      <c r="G26">
        <v>158.31</v>
      </c>
      <c r="H26" s="4">
        <f t="shared" si="0"/>
        <v>0.40838083956467014</v>
      </c>
    </row>
    <row r="27" spans="1:8" x14ac:dyDescent="0.35">
      <c r="A27" t="s">
        <v>97</v>
      </c>
      <c r="B27" t="s">
        <v>196</v>
      </c>
      <c r="C27">
        <v>2018</v>
      </c>
      <c r="D27">
        <v>47</v>
      </c>
      <c r="E27">
        <v>23.09</v>
      </c>
      <c r="F27">
        <v>206.57</v>
      </c>
      <c r="G27">
        <v>153.97</v>
      </c>
      <c r="H27" s="4">
        <f t="shared" si="0"/>
        <v>0.40189486552567233</v>
      </c>
    </row>
    <row r="28" spans="1:8" x14ac:dyDescent="0.35">
      <c r="A28" t="s">
        <v>98</v>
      </c>
      <c r="B28" t="s">
        <v>196</v>
      </c>
      <c r="C28">
        <v>2018</v>
      </c>
      <c r="D28">
        <v>17</v>
      </c>
      <c r="E28">
        <v>24.69</v>
      </c>
      <c r="F28">
        <v>199.58</v>
      </c>
      <c r="G28">
        <v>143.37</v>
      </c>
      <c r="H28" s="4">
        <f t="shared" si="0"/>
        <v>0.47362655881361648</v>
      </c>
    </row>
    <row r="29" spans="1:8" x14ac:dyDescent="0.35">
      <c r="A29" t="s">
        <v>99</v>
      </c>
      <c r="B29" t="s">
        <v>196</v>
      </c>
      <c r="C29">
        <v>2018</v>
      </c>
      <c r="D29">
        <v>20</v>
      </c>
      <c r="E29">
        <v>23.17</v>
      </c>
      <c r="F29">
        <v>201.05</v>
      </c>
      <c r="G29">
        <v>145.76</v>
      </c>
      <c r="H29" s="4">
        <f t="shared" si="0"/>
        <v>0.45101558038991768</v>
      </c>
    </row>
    <row r="30" spans="1:8" x14ac:dyDescent="0.35">
      <c r="A30" t="s">
        <v>100</v>
      </c>
      <c r="B30" t="s">
        <v>196</v>
      </c>
      <c r="C30">
        <v>2018</v>
      </c>
      <c r="D30">
        <v>41</v>
      </c>
      <c r="E30">
        <v>23.88</v>
      </c>
      <c r="F30">
        <v>194.25</v>
      </c>
      <c r="G30">
        <v>144</v>
      </c>
      <c r="H30" s="4">
        <f t="shared" si="0"/>
        <v>0.41833166833166829</v>
      </c>
    </row>
    <row r="31" spans="1:8" x14ac:dyDescent="0.35">
      <c r="A31" t="s">
        <v>101</v>
      </c>
      <c r="B31" t="s">
        <v>196</v>
      </c>
      <c r="C31">
        <v>2018</v>
      </c>
      <c r="D31">
        <v>65</v>
      </c>
      <c r="E31">
        <v>23.21</v>
      </c>
      <c r="F31">
        <v>202.06</v>
      </c>
      <c r="G31">
        <v>147.51</v>
      </c>
      <c r="H31" s="4">
        <f t="shared" si="0"/>
        <v>0.43885760257441686</v>
      </c>
    </row>
    <row r="32" spans="1:8" x14ac:dyDescent="0.35">
      <c r="A32" t="s">
        <v>102</v>
      </c>
      <c r="B32" t="s">
        <v>196</v>
      </c>
      <c r="C32">
        <v>2018</v>
      </c>
      <c r="D32">
        <v>19</v>
      </c>
      <c r="E32">
        <v>22.51</v>
      </c>
      <c r="F32">
        <v>205.93</v>
      </c>
      <c r="G32">
        <v>149.32</v>
      </c>
      <c r="H32" s="4">
        <f t="shared" si="0"/>
        <v>0.4464158977998583</v>
      </c>
    </row>
    <row r="33" spans="1:9" x14ac:dyDescent="0.35">
      <c r="A33" t="s">
        <v>103</v>
      </c>
      <c r="B33" t="s">
        <v>196</v>
      </c>
      <c r="C33">
        <v>2018</v>
      </c>
      <c r="D33">
        <v>6</v>
      </c>
      <c r="E33">
        <v>22.85</v>
      </c>
      <c r="F33">
        <v>216.1</v>
      </c>
      <c r="G33">
        <v>158.33000000000001</v>
      </c>
      <c r="H33" s="4">
        <f t="shared" si="0"/>
        <v>0.42640980218482416</v>
      </c>
    </row>
    <row r="34" spans="1:9" x14ac:dyDescent="0.35">
      <c r="A34" t="s">
        <v>104</v>
      </c>
      <c r="B34" t="s">
        <v>196</v>
      </c>
      <c r="C34">
        <v>2018</v>
      </c>
      <c r="D34">
        <v>5</v>
      </c>
      <c r="E34">
        <v>25.19</v>
      </c>
      <c r="F34">
        <v>164.06</v>
      </c>
      <c r="G34">
        <v>113.79</v>
      </c>
      <c r="H34" s="4">
        <f t="shared" ref="H34:H61" si="1">((F34-E34)-(G34-E34))/(G34-E34)</f>
        <v>0.56738148984198633</v>
      </c>
    </row>
    <row r="35" spans="1:9" x14ac:dyDescent="0.35">
      <c r="A35" t="s">
        <v>105</v>
      </c>
      <c r="B35" t="s">
        <v>196</v>
      </c>
      <c r="C35">
        <v>2018</v>
      </c>
      <c r="D35">
        <v>9</v>
      </c>
      <c r="E35">
        <v>23.85</v>
      </c>
      <c r="F35">
        <v>217.36</v>
      </c>
      <c r="G35">
        <v>157.88999999999999</v>
      </c>
      <c r="H35" s="4">
        <f t="shared" si="1"/>
        <v>0.44367353028946604</v>
      </c>
    </row>
    <row r="36" spans="1:9" x14ac:dyDescent="0.35">
      <c r="A36" t="s">
        <v>106</v>
      </c>
      <c r="B36" t="s">
        <v>196</v>
      </c>
      <c r="C36">
        <v>2018</v>
      </c>
      <c r="D36">
        <v>38</v>
      </c>
      <c r="E36">
        <v>24.1</v>
      </c>
      <c r="F36">
        <v>220.52</v>
      </c>
      <c r="G36">
        <v>164.78</v>
      </c>
      <c r="H36" s="4">
        <f t="shared" si="1"/>
        <v>0.39621836792721071</v>
      </c>
    </row>
    <row r="37" spans="1:9" x14ac:dyDescent="0.35">
      <c r="A37" t="s">
        <v>107</v>
      </c>
      <c r="B37" t="s">
        <v>196</v>
      </c>
      <c r="C37">
        <v>2018</v>
      </c>
      <c r="D37">
        <v>31</v>
      </c>
      <c r="E37">
        <v>23.34</v>
      </c>
      <c r="F37">
        <v>157.54</v>
      </c>
      <c r="G37">
        <v>120.51</v>
      </c>
      <c r="H37" s="4">
        <f t="shared" si="1"/>
        <v>0.38108469692291846</v>
      </c>
    </row>
    <row r="38" spans="1:9" x14ac:dyDescent="0.35">
      <c r="A38" t="s">
        <v>108</v>
      </c>
      <c r="B38" t="s">
        <v>196</v>
      </c>
      <c r="C38">
        <v>2018</v>
      </c>
      <c r="D38">
        <v>52</v>
      </c>
      <c r="E38">
        <v>22.94</v>
      </c>
      <c r="F38">
        <v>220.28</v>
      </c>
      <c r="G38">
        <v>160.74</v>
      </c>
      <c r="H38" s="4">
        <f t="shared" si="1"/>
        <v>0.43207547169811311</v>
      </c>
    </row>
    <row r="39" spans="1:9" x14ac:dyDescent="0.35">
      <c r="A39" t="s">
        <v>109</v>
      </c>
      <c r="B39" t="s">
        <v>196</v>
      </c>
      <c r="C39">
        <v>2018</v>
      </c>
      <c r="D39">
        <v>2</v>
      </c>
      <c r="E39">
        <v>25.04</v>
      </c>
      <c r="F39">
        <v>216.56</v>
      </c>
      <c r="G39">
        <v>154.69</v>
      </c>
      <c r="H39" s="4">
        <f t="shared" si="1"/>
        <v>0.47720786733513304</v>
      </c>
    </row>
    <row r="40" spans="1:9" x14ac:dyDescent="0.35">
      <c r="A40" t="s">
        <v>110</v>
      </c>
      <c r="B40" t="s">
        <v>196</v>
      </c>
      <c r="C40">
        <v>2018</v>
      </c>
      <c r="D40">
        <v>45</v>
      </c>
      <c r="E40">
        <v>23.92</v>
      </c>
      <c r="F40">
        <v>191.82</v>
      </c>
      <c r="G40">
        <v>137.30000000000001</v>
      </c>
      <c r="H40" s="4">
        <f t="shared" si="1"/>
        <v>0.48086082201446428</v>
      </c>
    </row>
    <row r="41" spans="1:9" x14ac:dyDescent="0.35">
      <c r="A41" t="s">
        <v>111</v>
      </c>
      <c r="B41" t="s">
        <v>196</v>
      </c>
      <c r="C41">
        <v>2018</v>
      </c>
      <c r="D41">
        <v>18</v>
      </c>
      <c r="E41">
        <v>22.57</v>
      </c>
      <c r="F41">
        <v>191.21</v>
      </c>
      <c r="G41">
        <v>134.34</v>
      </c>
      <c r="H41" s="4">
        <f t="shared" si="1"/>
        <v>0.5088127404491366</v>
      </c>
    </row>
    <row r="42" spans="1:9" x14ac:dyDescent="0.35">
      <c r="A42" t="s">
        <v>112</v>
      </c>
      <c r="B42" t="s">
        <v>196</v>
      </c>
      <c r="C42">
        <v>2018</v>
      </c>
      <c r="D42">
        <v>53</v>
      </c>
      <c r="E42">
        <v>23.05</v>
      </c>
      <c r="F42">
        <v>187.73</v>
      </c>
      <c r="G42">
        <v>125.48</v>
      </c>
      <c r="H42" s="4">
        <f t="shared" si="1"/>
        <v>0.60773210973347624</v>
      </c>
    </row>
    <row r="43" spans="1:9" x14ac:dyDescent="0.35">
      <c r="A43" t="s">
        <v>113</v>
      </c>
      <c r="B43" t="s">
        <v>196</v>
      </c>
      <c r="C43">
        <v>2018</v>
      </c>
      <c r="D43">
        <v>48</v>
      </c>
      <c r="E43">
        <v>24.02</v>
      </c>
      <c r="F43">
        <v>228.31</v>
      </c>
      <c r="G43">
        <v>169.88</v>
      </c>
      <c r="H43" s="4">
        <f t="shared" si="1"/>
        <v>0.40058960647195951</v>
      </c>
    </row>
    <row r="44" spans="1:9" x14ac:dyDescent="0.35">
      <c r="A44" t="s">
        <v>114</v>
      </c>
      <c r="B44" t="s">
        <v>196</v>
      </c>
      <c r="C44">
        <v>2018</v>
      </c>
      <c r="D44">
        <v>26</v>
      </c>
      <c r="E44">
        <v>27.49</v>
      </c>
      <c r="F44">
        <v>204.89</v>
      </c>
      <c r="G44">
        <v>157.01</v>
      </c>
      <c r="H44" s="4">
        <f t="shared" si="1"/>
        <v>0.36967263743051265</v>
      </c>
      <c r="I44" t="s">
        <v>9</v>
      </c>
    </row>
    <row r="45" spans="1:9" x14ac:dyDescent="0.35">
      <c r="A45" t="s">
        <v>115</v>
      </c>
      <c r="B45" t="s">
        <v>196</v>
      </c>
      <c r="C45">
        <v>2018</v>
      </c>
      <c r="D45">
        <v>57</v>
      </c>
      <c r="E45">
        <v>23.31</v>
      </c>
      <c r="F45">
        <v>212.7</v>
      </c>
      <c r="G45">
        <v>154.93</v>
      </c>
      <c r="H45" s="4">
        <f t="shared" si="1"/>
        <v>0.43891505850174728</v>
      </c>
    </row>
    <row r="46" spans="1:9" x14ac:dyDescent="0.35">
      <c r="A46" t="s">
        <v>116</v>
      </c>
      <c r="B46" t="s">
        <v>196</v>
      </c>
      <c r="C46">
        <v>2018</v>
      </c>
      <c r="D46">
        <v>52</v>
      </c>
      <c r="E46">
        <v>22.99</v>
      </c>
      <c r="F46">
        <v>198.34</v>
      </c>
      <c r="G46">
        <v>141.16999999999999</v>
      </c>
      <c r="H46" s="4">
        <f t="shared" si="1"/>
        <v>0.48375359620917252</v>
      </c>
    </row>
    <row r="47" spans="1:9" x14ac:dyDescent="0.35">
      <c r="A47" t="s">
        <v>117</v>
      </c>
      <c r="B47" t="s">
        <v>196</v>
      </c>
      <c r="C47">
        <v>2018</v>
      </c>
      <c r="D47">
        <v>42</v>
      </c>
      <c r="E47">
        <v>25.16</v>
      </c>
      <c r="F47">
        <v>163.88</v>
      </c>
      <c r="G47">
        <v>119.01</v>
      </c>
      <c r="H47" s="4">
        <f t="shared" si="1"/>
        <v>0.47810335641981871</v>
      </c>
    </row>
    <row r="48" spans="1:9" x14ac:dyDescent="0.35">
      <c r="A48" t="s">
        <v>118</v>
      </c>
      <c r="B48" t="s">
        <v>196</v>
      </c>
      <c r="C48">
        <v>2018</v>
      </c>
      <c r="D48">
        <v>47</v>
      </c>
      <c r="E48">
        <v>23.22</v>
      </c>
      <c r="F48">
        <v>187.67</v>
      </c>
      <c r="G48">
        <v>135.56</v>
      </c>
      <c r="H48" s="4">
        <f t="shared" si="1"/>
        <v>0.46385971158981648</v>
      </c>
    </row>
    <row r="49" spans="1:9" x14ac:dyDescent="0.35">
      <c r="A49" t="s">
        <v>119</v>
      </c>
      <c r="B49" t="s">
        <v>196</v>
      </c>
      <c r="C49">
        <v>2018</v>
      </c>
      <c r="D49">
        <v>30</v>
      </c>
      <c r="E49">
        <v>27.83</v>
      </c>
      <c r="F49">
        <v>205.23</v>
      </c>
      <c r="G49">
        <v>149.19999999999999</v>
      </c>
      <c r="H49" s="4">
        <f t="shared" si="1"/>
        <v>0.46164620581692339</v>
      </c>
      <c r="I49" t="s">
        <v>6</v>
      </c>
    </row>
    <row r="50" spans="1:9" x14ac:dyDescent="0.35">
      <c r="A50" t="s">
        <v>120</v>
      </c>
      <c r="B50" t="s">
        <v>196</v>
      </c>
      <c r="C50">
        <v>2018</v>
      </c>
      <c r="D50">
        <v>68</v>
      </c>
      <c r="E50">
        <v>24.06</v>
      </c>
      <c r="F50">
        <v>177.48</v>
      </c>
      <c r="G50">
        <v>123.01</v>
      </c>
      <c r="H50" s="4">
        <f t="shared" si="1"/>
        <v>0.55048004042445664</v>
      </c>
    </row>
    <row r="51" spans="1:9" x14ac:dyDescent="0.35">
      <c r="A51" t="s">
        <v>121</v>
      </c>
      <c r="B51" t="s">
        <v>196</v>
      </c>
      <c r="C51">
        <v>2018</v>
      </c>
      <c r="D51">
        <v>27</v>
      </c>
      <c r="E51">
        <v>24.84</v>
      </c>
      <c r="F51">
        <v>197.25</v>
      </c>
      <c r="G51">
        <v>150</v>
      </c>
      <c r="H51" s="4">
        <f t="shared" si="1"/>
        <v>0.37751677852348997</v>
      </c>
    </row>
    <row r="52" spans="1:9" x14ac:dyDescent="0.35">
      <c r="A52" t="s">
        <v>122</v>
      </c>
      <c r="B52" t="s">
        <v>196</v>
      </c>
      <c r="C52">
        <v>2018</v>
      </c>
      <c r="D52">
        <v>40</v>
      </c>
      <c r="E52">
        <v>23.96</v>
      </c>
      <c r="F52">
        <v>231.85</v>
      </c>
      <c r="G52">
        <v>171.13</v>
      </c>
      <c r="H52" s="4">
        <f t="shared" si="1"/>
        <v>0.41258408643065847</v>
      </c>
    </row>
    <row r="53" spans="1:9" x14ac:dyDescent="0.35">
      <c r="A53" t="s">
        <v>123</v>
      </c>
      <c r="B53" t="s">
        <v>196</v>
      </c>
      <c r="C53">
        <v>2018</v>
      </c>
      <c r="D53">
        <v>56</v>
      </c>
      <c r="E53">
        <v>23.99</v>
      </c>
      <c r="F53">
        <v>201.74</v>
      </c>
      <c r="G53">
        <v>148.13999999999999</v>
      </c>
      <c r="H53" s="4">
        <f t="shared" si="1"/>
        <v>0.43173580346355223</v>
      </c>
    </row>
    <row r="54" spans="1:9" x14ac:dyDescent="0.35">
      <c r="A54" t="s">
        <v>124</v>
      </c>
      <c r="B54" t="s">
        <v>196</v>
      </c>
      <c r="C54">
        <v>2018</v>
      </c>
      <c r="D54">
        <v>36</v>
      </c>
      <c r="E54">
        <v>24.02</v>
      </c>
      <c r="F54">
        <v>196.07</v>
      </c>
      <c r="G54">
        <v>140.78</v>
      </c>
      <c r="H54" s="4">
        <f t="shared" si="1"/>
        <v>0.4735354573484068</v>
      </c>
    </row>
    <row r="55" spans="1:9" x14ac:dyDescent="0.35">
      <c r="A55" t="s">
        <v>125</v>
      </c>
      <c r="B55" t="s">
        <v>196</v>
      </c>
      <c r="C55">
        <v>2018</v>
      </c>
      <c r="D55">
        <v>41</v>
      </c>
      <c r="E55">
        <v>23.71</v>
      </c>
      <c r="F55">
        <v>205.13</v>
      </c>
      <c r="G55">
        <v>152.05000000000001</v>
      </c>
      <c r="H55" s="4">
        <f t="shared" si="1"/>
        <v>0.4135889044724948</v>
      </c>
    </row>
    <row r="56" spans="1:9" x14ac:dyDescent="0.35">
      <c r="A56" t="s">
        <v>126</v>
      </c>
      <c r="B56" t="s">
        <v>196</v>
      </c>
      <c r="C56">
        <v>2018</v>
      </c>
      <c r="D56">
        <v>13</v>
      </c>
      <c r="E56">
        <v>24.07</v>
      </c>
      <c r="F56">
        <v>191.77</v>
      </c>
      <c r="G56">
        <v>138.88999999999999</v>
      </c>
      <c r="H56" s="4">
        <f t="shared" si="1"/>
        <v>0.46054694304128224</v>
      </c>
    </row>
    <row r="57" spans="1:9" x14ac:dyDescent="0.35">
      <c r="A57" t="s">
        <v>127</v>
      </c>
      <c r="B57" t="s">
        <v>196</v>
      </c>
      <c r="C57">
        <v>2018</v>
      </c>
      <c r="D57">
        <v>51</v>
      </c>
      <c r="E57">
        <v>24.32</v>
      </c>
      <c r="F57">
        <v>199.39</v>
      </c>
      <c r="G57">
        <v>137.53</v>
      </c>
      <c r="H57" s="4">
        <f t="shared" si="1"/>
        <v>0.54641816093984619</v>
      </c>
    </row>
    <row r="58" spans="1:9" x14ac:dyDescent="0.35">
      <c r="A58" t="s">
        <v>128</v>
      </c>
      <c r="B58" t="s">
        <v>196</v>
      </c>
      <c r="C58">
        <v>2018</v>
      </c>
      <c r="D58">
        <v>56</v>
      </c>
      <c r="E58">
        <v>23.84</v>
      </c>
      <c r="F58">
        <v>190.08</v>
      </c>
      <c r="G58">
        <v>132.65</v>
      </c>
      <c r="H58" s="4">
        <f t="shared" si="1"/>
        <v>0.52780075360720524</v>
      </c>
    </row>
    <row r="59" spans="1:9" x14ac:dyDescent="0.35">
      <c r="A59" t="s">
        <v>129</v>
      </c>
      <c r="B59" t="s">
        <v>196</v>
      </c>
      <c r="C59">
        <v>2018</v>
      </c>
      <c r="D59">
        <v>27</v>
      </c>
      <c r="E59">
        <v>24.98</v>
      </c>
      <c r="F59">
        <v>222.69</v>
      </c>
      <c r="G59">
        <v>163.19</v>
      </c>
      <c r="H59" s="4">
        <f t="shared" si="1"/>
        <v>0.43050430504305043</v>
      </c>
    </row>
    <row r="60" spans="1:9" x14ac:dyDescent="0.35">
      <c r="A60" t="s">
        <v>130</v>
      </c>
      <c r="B60" t="s">
        <v>196</v>
      </c>
      <c r="C60">
        <v>2018</v>
      </c>
      <c r="D60">
        <v>66</v>
      </c>
      <c r="E60">
        <v>23.36</v>
      </c>
      <c r="F60">
        <v>226.56</v>
      </c>
      <c r="G60">
        <v>170.44</v>
      </c>
      <c r="H60" s="4">
        <f t="shared" si="1"/>
        <v>0.38156105520805011</v>
      </c>
    </row>
    <row r="61" spans="1:9" x14ac:dyDescent="0.35">
      <c r="A61" t="s">
        <v>131</v>
      </c>
      <c r="B61" t="s">
        <v>196</v>
      </c>
      <c r="C61">
        <v>2018</v>
      </c>
      <c r="D61">
        <v>67</v>
      </c>
      <c r="E61">
        <v>23.61</v>
      </c>
      <c r="F61">
        <v>214.87</v>
      </c>
      <c r="G61">
        <v>157.91</v>
      </c>
      <c r="H61" s="4">
        <f t="shared" si="1"/>
        <v>0.42412509307520457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61"/>
  <sheetViews>
    <sheetView workbookViewId="0">
      <selection activeCell="I61" sqref="A2:I61"/>
    </sheetView>
  </sheetViews>
  <sheetFormatPr baseColWidth="10" defaultColWidth="8.7265625" defaultRowHeight="14.5" x14ac:dyDescent="0.35"/>
  <cols>
    <col min="1" max="1" width="21.7265625" bestFit="1" customWidth="1"/>
    <col min="2" max="2" width="21.7265625" customWidth="1"/>
    <col min="5" max="5" width="9.81640625" bestFit="1" customWidth="1"/>
    <col min="6" max="6" width="13.54296875" bestFit="1" customWidth="1"/>
    <col min="7" max="7" width="11.81640625" bestFit="1" customWidth="1"/>
    <col min="8" max="8" width="10.1796875" style="4" bestFit="1" customWidth="1"/>
  </cols>
  <sheetData>
    <row r="1" spans="1:13" x14ac:dyDescent="0.35">
      <c r="A1" s="2" t="s">
        <v>11</v>
      </c>
      <c r="B1" s="2" t="s">
        <v>194</v>
      </c>
      <c r="C1" s="2" t="s">
        <v>10</v>
      </c>
      <c r="D1" s="2" t="s">
        <v>190</v>
      </c>
      <c r="E1" s="3" t="s">
        <v>0</v>
      </c>
      <c r="F1" s="3" t="s">
        <v>1</v>
      </c>
      <c r="G1" s="3" t="s">
        <v>2</v>
      </c>
      <c r="H1" s="3" t="s">
        <v>4</v>
      </c>
      <c r="I1" s="3" t="s">
        <v>3</v>
      </c>
    </row>
    <row r="2" spans="1:13" x14ac:dyDescent="0.35">
      <c r="A2" t="s">
        <v>132</v>
      </c>
      <c r="B2" t="s">
        <v>197</v>
      </c>
      <c r="C2">
        <v>2018</v>
      </c>
      <c r="D2">
        <v>65</v>
      </c>
      <c r="E2">
        <v>23.15</v>
      </c>
      <c r="F2">
        <v>208.69</v>
      </c>
      <c r="G2">
        <v>159.13999999999999</v>
      </c>
      <c r="H2" s="4">
        <f>((F2-E2)-(G2-E2))/(G2-E2)</f>
        <v>0.36436502684020899</v>
      </c>
      <c r="K2" s="4"/>
      <c r="L2" s="4"/>
      <c r="M2" s="4"/>
    </row>
    <row r="3" spans="1:13" x14ac:dyDescent="0.35">
      <c r="A3" t="s">
        <v>133</v>
      </c>
      <c r="B3" t="s">
        <v>197</v>
      </c>
      <c r="C3">
        <v>2018</v>
      </c>
      <c r="D3">
        <v>30</v>
      </c>
      <c r="E3">
        <v>23.18</v>
      </c>
      <c r="F3">
        <v>206.54</v>
      </c>
      <c r="G3">
        <v>148.16999999999999</v>
      </c>
      <c r="H3" s="4">
        <f t="shared" ref="H3:H61" si="0">((F3-E3)-(G3-E3))/(G3-E3)</f>
        <v>0.46699735978878321</v>
      </c>
    </row>
    <row r="4" spans="1:13" x14ac:dyDescent="0.35">
      <c r="A4" t="s">
        <v>134</v>
      </c>
      <c r="B4" t="s">
        <v>197</v>
      </c>
      <c r="C4">
        <v>2018</v>
      </c>
      <c r="D4">
        <v>26</v>
      </c>
      <c r="E4">
        <v>27.52</v>
      </c>
      <c r="F4">
        <v>212.79</v>
      </c>
      <c r="G4">
        <v>160.03</v>
      </c>
      <c r="H4" s="4">
        <f t="shared" si="0"/>
        <v>0.39815862953739334</v>
      </c>
    </row>
    <row r="5" spans="1:13" x14ac:dyDescent="0.35">
      <c r="A5" t="s">
        <v>135</v>
      </c>
      <c r="B5" t="s">
        <v>197</v>
      </c>
      <c r="C5">
        <v>2018</v>
      </c>
      <c r="D5">
        <v>11</v>
      </c>
      <c r="E5">
        <v>23.5</v>
      </c>
      <c r="F5">
        <v>192.27</v>
      </c>
      <c r="G5">
        <v>151.47</v>
      </c>
      <c r="H5" s="4">
        <f t="shared" si="0"/>
        <v>0.31882472454481531</v>
      </c>
    </row>
    <row r="6" spans="1:13" x14ac:dyDescent="0.35">
      <c r="A6" t="s">
        <v>136</v>
      </c>
      <c r="B6" t="s">
        <v>197</v>
      </c>
      <c r="C6">
        <v>2018</v>
      </c>
      <c r="D6">
        <v>1</v>
      </c>
      <c r="E6">
        <v>24.03</v>
      </c>
      <c r="F6">
        <v>218.5</v>
      </c>
      <c r="G6">
        <v>166.81</v>
      </c>
      <c r="H6" s="4">
        <f t="shared" si="0"/>
        <v>0.36202549376663395</v>
      </c>
    </row>
    <row r="7" spans="1:13" x14ac:dyDescent="0.35">
      <c r="A7" t="s">
        <v>137</v>
      </c>
      <c r="B7" t="s">
        <v>197</v>
      </c>
      <c r="C7">
        <v>2018</v>
      </c>
      <c r="D7">
        <v>64</v>
      </c>
      <c r="E7">
        <v>23.09</v>
      </c>
      <c r="F7">
        <v>211.64</v>
      </c>
      <c r="G7">
        <v>159.38</v>
      </c>
      <c r="H7" s="4">
        <f t="shared" si="0"/>
        <v>0.38344706141316304</v>
      </c>
    </row>
    <row r="8" spans="1:13" x14ac:dyDescent="0.35">
      <c r="A8" t="s">
        <v>138</v>
      </c>
      <c r="B8" t="s">
        <v>197</v>
      </c>
      <c r="C8">
        <v>2018</v>
      </c>
      <c r="D8">
        <v>25</v>
      </c>
      <c r="E8">
        <v>24.95</v>
      </c>
      <c r="F8">
        <v>164.19</v>
      </c>
      <c r="G8">
        <v>124.45</v>
      </c>
      <c r="H8" s="4">
        <f t="shared" si="0"/>
        <v>0.39939698492462322</v>
      </c>
    </row>
    <row r="9" spans="1:13" x14ac:dyDescent="0.35">
      <c r="A9" t="s">
        <v>139</v>
      </c>
      <c r="B9" t="s">
        <v>197</v>
      </c>
      <c r="C9">
        <v>2018</v>
      </c>
      <c r="D9">
        <v>11</v>
      </c>
      <c r="E9">
        <v>23.5</v>
      </c>
      <c r="F9">
        <v>213.33</v>
      </c>
      <c r="G9">
        <v>163.99</v>
      </c>
      <c r="H9" s="4">
        <f t="shared" si="0"/>
        <v>0.35119937362089826</v>
      </c>
    </row>
    <row r="10" spans="1:13" x14ac:dyDescent="0.35">
      <c r="A10" t="s">
        <v>140</v>
      </c>
      <c r="B10" t="s">
        <v>197</v>
      </c>
      <c r="C10">
        <v>2018</v>
      </c>
      <c r="D10">
        <v>9</v>
      </c>
      <c r="E10">
        <v>23.81</v>
      </c>
      <c r="F10">
        <v>156.52000000000001</v>
      </c>
      <c r="G10">
        <v>121.15</v>
      </c>
      <c r="H10" s="4">
        <f t="shared" si="0"/>
        <v>0.36336552290938978</v>
      </c>
    </row>
    <row r="11" spans="1:13" x14ac:dyDescent="0.35">
      <c r="A11" t="s">
        <v>141</v>
      </c>
      <c r="B11" t="s">
        <v>197</v>
      </c>
      <c r="C11">
        <v>2018</v>
      </c>
      <c r="D11">
        <v>53</v>
      </c>
      <c r="E11">
        <v>22.87</v>
      </c>
      <c r="F11">
        <v>226.91</v>
      </c>
      <c r="G11">
        <v>172.77</v>
      </c>
      <c r="H11" s="4">
        <f t="shared" si="0"/>
        <v>0.36117411607738481</v>
      </c>
    </row>
    <row r="12" spans="1:13" x14ac:dyDescent="0.35">
      <c r="A12" t="s">
        <v>142</v>
      </c>
      <c r="B12" t="s">
        <v>197</v>
      </c>
      <c r="C12">
        <v>2018</v>
      </c>
      <c r="D12">
        <v>39</v>
      </c>
      <c r="E12">
        <v>23.23</v>
      </c>
      <c r="F12">
        <v>187.47</v>
      </c>
      <c r="G12">
        <v>145.97999999999999</v>
      </c>
      <c r="H12" s="4">
        <f t="shared" si="0"/>
        <v>0.33800407331975585</v>
      </c>
    </row>
    <row r="13" spans="1:13" x14ac:dyDescent="0.35">
      <c r="A13" t="s">
        <v>143</v>
      </c>
      <c r="B13" t="s">
        <v>197</v>
      </c>
      <c r="C13">
        <v>2018</v>
      </c>
      <c r="D13">
        <v>48</v>
      </c>
      <c r="E13">
        <v>24.12</v>
      </c>
      <c r="F13">
        <v>167.25</v>
      </c>
      <c r="G13">
        <v>124.89</v>
      </c>
      <c r="H13" s="4">
        <f t="shared" si="0"/>
        <v>0.4203632033343257</v>
      </c>
    </row>
    <row r="14" spans="1:13" x14ac:dyDescent="0.35">
      <c r="A14" t="s">
        <v>144</v>
      </c>
      <c r="B14" t="s">
        <v>197</v>
      </c>
      <c r="C14">
        <v>2018</v>
      </c>
      <c r="D14">
        <v>23</v>
      </c>
      <c r="E14">
        <v>23.53</v>
      </c>
      <c r="F14">
        <v>225.38</v>
      </c>
      <c r="G14">
        <v>174.2</v>
      </c>
      <c r="H14" s="4">
        <f t="shared" si="0"/>
        <v>0.33968275038162882</v>
      </c>
    </row>
    <row r="15" spans="1:13" x14ac:dyDescent="0.35">
      <c r="A15" t="s">
        <v>145</v>
      </c>
      <c r="B15" t="s">
        <v>197</v>
      </c>
      <c r="C15">
        <v>2018</v>
      </c>
      <c r="D15">
        <v>51</v>
      </c>
      <c r="E15">
        <v>24.22</v>
      </c>
      <c r="F15">
        <v>216.46</v>
      </c>
      <c r="G15">
        <v>167.75</v>
      </c>
      <c r="H15" s="4">
        <f t="shared" si="0"/>
        <v>0.33937155995262319</v>
      </c>
    </row>
    <row r="16" spans="1:13" x14ac:dyDescent="0.35">
      <c r="A16" t="s">
        <v>146</v>
      </c>
      <c r="B16" t="s">
        <v>197</v>
      </c>
      <c r="C16">
        <v>2018</v>
      </c>
      <c r="D16">
        <v>53</v>
      </c>
      <c r="E16">
        <v>22.92</v>
      </c>
      <c r="F16">
        <v>226.6</v>
      </c>
      <c r="G16">
        <v>174.71</v>
      </c>
      <c r="H16" s="4">
        <f t="shared" si="0"/>
        <v>0.34185387706700032</v>
      </c>
    </row>
    <row r="17" spans="1:9" x14ac:dyDescent="0.35">
      <c r="A17" t="s">
        <v>147</v>
      </c>
      <c r="B17" t="s">
        <v>197</v>
      </c>
      <c r="C17">
        <v>2018</v>
      </c>
      <c r="D17">
        <v>11</v>
      </c>
      <c r="E17">
        <v>23.64</v>
      </c>
      <c r="F17">
        <v>177.9</v>
      </c>
      <c r="G17">
        <v>139.72999999999999</v>
      </c>
      <c r="H17" s="4">
        <f t="shared" si="0"/>
        <v>0.32879662330950127</v>
      </c>
    </row>
    <row r="18" spans="1:9" x14ac:dyDescent="0.35">
      <c r="A18" t="s">
        <v>148</v>
      </c>
      <c r="B18" t="s">
        <v>197</v>
      </c>
      <c r="C18">
        <v>2018</v>
      </c>
      <c r="D18">
        <v>66</v>
      </c>
      <c r="E18">
        <v>23.31</v>
      </c>
      <c r="F18">
        <v>225.18</v>
      </c>
      <c r="G18">
        <v>178.58</v>
      </c>
      <c r="H18" s="4">
        <f t="shared" si="0"/>
        <v>0.30012236748889026</v>
      </c>
    </row>
    <row r="19" spans="1:9" x14ac:dyDescent="0.35">
      <c r="A19" s="1" t="s">
        <v>193</v>
      </c>
      <c r="B19" t="s">
        <v>197</v>
      </c>
      <c r="C19">
        <v>2018</v>
      </c>
      <c r="D19" s="1" t="s">
        <v>191</v>
      </c>
      <c r="E19" s="1" t="s">
        <v>191</v>
      </c>
      <c r="F19" s="1" t="s">
        <v>191</v>
      </c>
      <c r="G19" s="1" t="s">
        <v>191</v>
      </c>
      <c r="H19" s="4" t="s">
        <v>191</v>
      </c>
      <c r="I19" t="s">
        <v>8</v>
      </c>
    </row>
    <row r="20" spans="1:9" x14ac:dyDescent="0.35">
      <c r="A20" t="s">
        <v>149</v>
      </c>
      <c r="B20" t="s">
        <v>197</v>
      </c>
      <c r="C20">
        <v>2018</v>
      </c>
      <c r="D20">
        <v>31</v>
      </c>
      <c r="E20">
        <v>23.33</v>
      </c>
      <c r="F20">
        <v>211.68</v>
      </c>
      <c r="G20">
        <v>159.65</v>
      </c>
      <c r="H20" s="4">
        <f t="shared" si="0"/>
        <v>0.38167546948356829</v>
      </c>
    </row>
    <row r="21" spans="1:9" x14ac:dyDescent="0.35">
      <c r="A21" t="s">
        <v>150</v>
      </c>
      <c r="B21" t="s">
        <v>197</v>
      </c>
      <c r="C21">
        <v>2018</v>
      </c>
      <c r="D21">
        <v>12</v>
      </c>
      <c r="E21">
        <v>24.8</v>
      </c>
      <c r="F21">
        <v>200.4</v>
      </c>
      <c r="G21">
        <v>152.22</v>
      </c>
      <c r="H21" s="4">
        <f t="shared" si="0"/>
        <v>0.37811960445769888</v>
      </c>
    </row>
    <row r="22" spans="1:9" x14ac:dyDescent="0.35">
      <c r="A22" t="s">
        <v>151</v>
      </c>
      <c r="B22" t="s">
        <v>197</v>
      </c>
      <c r="C22">
        <v>2018</v>
      </c>
      <c r="D22">
        <v>62</v>
      </c>
      <c r="E22">
        <v>23.75</v>
      </c>
      <c r="F22">
        <v>201.74</v>
      </c>
      <c r="G22">
        <v>154.82</v>
      </c>
      <c r="H22" s="4">
        <f t="shared" si="0"/>
        <v>0.35797665369649817</v>
      </c>
    </row>
    <row r="23" spans="1:9" x14ac:dyDescent="0.35">
      <c r="A23" t="s">
        <v>152</v>
      </c>
      <c r="B23" t="s">
        <v>197</v>
      </c>
      <c r="C23">
        <v>2018</v>
      </c>
      <c r="D23">
        <v>20</v>
      </c>
      <c r="E23">
        <v>23.11</v>
      </c>
      <c r="F23">
        <v>222.53</v>
      </c>
      <c r="G23">
        <v>171.09</v>
      </c>
      <c r="H23" s="4">
        <f t="shared" si="0"/>
        <v>0.34761454250574397</v>
      </c>
    </row>
    <row r="24" spans="1:9" x14ac:dyDescent="0.35">
      <c r="A24" t="s">
        <v>153</v>
      </c>
      <c r="B24" t="s">
        <v>197</v>
      </c>
      <c r="C24">
        <v>2018</v>
      </c>
      <c r="D24">
        <v>46</v>
      </c>
      <c r="E24">
        <v>23.63</v>
      </c>
      <c r="F24">
        <v>217.77</v>
      </c>
      <c r="G24">
        <v>170.91</v>
      </c>
      <c r="H24" s="4">
        <f t="shared" si="0"/>
        <v>0.31816947311243898</v>
      </c>
    </row>
    <row r="25" spans="1:9" x14ac:dyDescent="0.35">
      <c r="A25" t="s">
        <v>154</v>
      </c>
      <c r="B25" t="s">
        <v>197</v>
      </c>
      <c r="C25">
        <v>2018</v>
      </c>
      <c r="D25">
        <v>60</v>
      </c>
      <c r="E25">
        <v>23.92</v>
      </c>
      <c r="F25">
        <v>208.81</v>
      </c>
      <c r="G25">
        <v>158.29</v>
      </c>
      <c r="H25" s="4">
        <f t="shared" si="0"/>
        <v>0.37597678053136846</v>
      </c>
    </row>
    <row r="26" spans="1:9" x14ac:dyDescent="0.35">
      <c r="A26" t="s">
        <v>155</v>
      </c>
      <c r="B26" t="s">
        <v>197</v>
      </c>
      <c r="C26">
        <v>2018</v>
      </c>
      <c r="D26">
        <v>70</v>
      </c>
      <c r="E26">
        <v>27.6</v>
      </c>
      <c r="F26">
        <v>152.68</v>
      </c>
      <c r="G26">
        <v>122.02</v>
      </c>
      <c r="H26" s="4">
        <f t="shared" si="0"/>
        <v>0.32471933912306744</v>
      </c>
    </row>
    <row r="27" spans="1:9" x14ac:dyDescent="0.35">
      <c r="A27" t="s">
        <v>156</v>
      </c>
      <c r="B27" t="s">
        <v>197</v>
      </c>
      <c r="C27">
        <v>2018</v>
      </c>
      <c r="D27">
        <v>53</v>
      </c>
      <c r="E27">
        <v>22.89</v>
      </c>
      <c r="F27">
        <v>206.18</v>
      </c>
      <c r="G27">
        <v>159.30000000000001</v>
      </c>
      <c r="H27" s="4">
        <f t="shared" si="0"/>
        <v>0.34366981892823095</v>
      </c>
    </row>
    <row r="28" spans="1:9" x14ac:dyDescent="0.35">
      <c r="A28" t="s">
        <v>157</v>
      </c>
      <c r="B28" t="s">
        <v>197</v>
      </c>
      <c r="C28">
        <v>2018</v>
      </c>
      <c r="D28">
        <v>39</v>
      </c>
      <c r="E28">
        <v>23.21</v>
      </c>
      <c r="F28">
        <v>216.78</v>
      </c>
      <c r="G28">
        <v>169.72</v>
      </c>
      <c r="H28" s="4">
        <f t="shared" si="0"/>
        <v>0.32120674356699203</v>
      </c>
    </row>
    <row r="29" spans="1:9" x14ac:dyDescent="0.35">
      <c r="A29" t="s">
        <v>158</v>
      </c>
      <c r="B29" t="s">
        <v>197</v>
      </c>
      <c r="C29">
        <v>2018</v>
      </c>
      <c r="D29">
        <v>1</v>
      </c>
      <c r="E29">
        <v>24.02</v>
      </c>
      <c r="F29">
        <v>249.23</v>
      </c>
      <c r="G29">
        <v>195.61</v>
      </c>
      <c r="H29" s="4">
        <f t="shared" si="0"/>
        <v>0.31248907278978949</v>
      </c>
    </row>
    <row r="30" spans="1:9" x14ac:dyDescent="0.35">
      <c r="A30" t="s">
        <v>159</v>
      </c>
      <c r="B30" t="s">
        <v>197</v>
      </c>
      <c r="C30">
        <v>2018</v>
      </c>
      <c r="D30">
        <v>67</v>
      </c>
      <c r="E30">
        <v>23.67</v>
      </c>
      <c r="F30">
        <v>226.02</v>
      </c>
      <c r="G30">
        <v>180.37</v>
      </c>
      <c r="H30" s="4">
        <f t="shared" si="0"/>
        <v>0.29132099553286561</v>
      </c>
    </row>
    <row r="31" spans="1:9" x14ac:dyDescent="0.35">
      <c r="A31" t="s">
        <v>160</v>
      </c>
      <c r="B31" t="s">
        <v>197</v>
      </c>
      <c r="C31">
        <v>2018</v>
      </c>
      <c r="D31">
        <v>36</v>
      </c>
      <c r="E31">
        <v>23.84</v>
      </c>
      <c r="F31">
        <v>224.88</v>
      </c>
      <c r="G31">
        <v>175.4</v>
      </c>
      <c r="H31" s="4">
        <f t="shared" si="0"/>
        <v>0.32647136447611502</v>
      </c>
    </row>
    <row r="32" spans="1:9" x14ac:dyDescent="0.35">
      <c r="A32" t="s">
        <v>161</v>
      </c>
      <c r="B32" t="s">
        <v>197</v>
      </c>
      <c r="C32">
        <v>2018</v>
      </c>
      <c r="D32">
        <v>6</v>
      </c>
      <c r="E32">
        <v>22.84</v>
      </c>
      <c r="F32">
        <v>210.48</v>
      </c>
      <c r="G32">
        <v>161.94999999999999</v>
      </c>
      <c r="H32" s="4">
        <f t="shared" si="0"/>
        <v>0.34886061390266698</v>
      </c>
    </row>
    <row r="33" spans="1:9" x14ac:dyDescent="0.35">
      <c r="A33" t="s">
        <v>162</v>
      </c>
      <c r="B33" t="s">
        <v>197</v>
      </c>
      <c r="C33">
        <v>2018</v>
      </c>
      <c r="D33">
        <v>54</v>
      </c>
      <c r="E33">
        <v>22.71</v>
      </c>
      <c r="F33">
        <v>213.13</v>
      </c>
      <c r="G33">
        <v>164.8</v>
      </c>
      <c r="H33" s="4">
        <f t="shared" si="0"/>
        <v>0.34013653318319365</v>
      </c>
    </row>
    <row r="34" spans="1:9" x14ac:dyDescent="0.35">
      <c r="A34" t="s">
        <v>163</v>
      </c>
      <c r="B34" t="s">
        <v>197</v>
      </c>
      <c r="C34">
        <v>2018</v>
      </c>
      <c r="D34">
        <v>25</v>
      </c>
      <c r="E34">
        <v>24.87</v>
      </c>
      <c r="F34">
        <v>225.89</v>
      </c>
      <c r="G34">
        <v>177.89</v>
      </c>
      <c r="H34" s="4">
        <f t="shared" si="0"/>
        <v>0.31368448568814539</v>
      </c>
    </row>
    <row r="35" spans="1:9" x14ac:dyDescent="0.35">
      <c r="A35" t="s">
        <v>164</v>
      </c>
      <c r="B35" t="s">
        <v>197</v>
      </c>
      <c r="C35">
        <v>2018</v>
      </c>
      <c r="D35">
        <v>37</v>
      </c>
      <c r="E35">
        <v>23.62</v>
      </c>
      <c r="F35">
        <v>206.73</v>
      </c>
      <c r="G35">
        <v>162.4</v>
      </c>
      <c r="H35" s="4">
        <f t="shared" si="0"/>
        <v>0.31942643032137186</v>
      </c>
    </row>
    <row r="36" spans="1:9" x14ac:dyDescent="0.35">
      <c r="A36" t="s">
        <v>165</v>
      </c>
      <c r="B36" t="s">
        <v>197</v>
      </c>
      <c r="C36">
        <v>2018</v>
      </c>
      <c r="D36">
        <v>43</v>
      </c>
      <c r="E36">
        <v>24.46</v>
      </c>
      <c r="F36">
        <v>162.63</v>
      </c>
      <c r="G36">
        <v>127.22</v>
      </c>
      <c r="H36" s="4">
        <f t="shared" si="0"/>
        <v>0.3445893343713507</v>
      </c>
    </row>
    <row r="37" spans="1:9" x14ac:dyDescent="0.35">
      <c r="A37" t="s">
        <v>166</v>
      </c>
      <c r="B37" t="s">
        <v>197</v>
      </c>
      <c r="C37">
        <v>2018</v>
      </c>
      <c r="D37">
        <v>6</v>
      </c>
      <c r="E37">
        <v>22.94</v>
      </c>
      <c r="F37">
        <v>189.25</v>
      </c>
      <c r="G37">
        <v>146.15</v>
      </c>
      <c r="H37" s="4">
        <f t="shared" si="0"/>
        <v>0.34980926872818757</v>
      </c>
    </row>
    <row r="38" spans="1:9" x14ac:dyDescent="0.35">
      <c r="A38" t="s">
        <v>167</v>
      </c>
      <c r="B38" t="s">
        <v>197</v>
      </c>
      <c r="C38">
        <v>2018</v>
      </c>
      <c r="D38">
        <v>61</v>
      </c>
      <c r="E38">
        <v>23.51</v>
      </c>
      <c r="F38">
        <v>199.23</v>
      </c>
      <c r="G38">
        <v>154.56</v>
      </c>
      <c r="H38" s="4">
        <f t="shared" si="0"/>
        <v>0.34086226631056837</v>
      </c>
    </row>
    <row r="39" spans="1:9" x14ac:dyDescent="0.35">
      <c r="A39" t="s">
        <v>168</v>
      </c>
      <c r="B39" t="s">
        <v>197</v>
      </c>
      <c r="C39">
        <v>2018</v>
      </c>
      <c r="D39">
        <v>46</v>
      </c>
      <c r="E39">
        <v>23.61</v>
      </c>
      <c r="F39">
        <v>147.27000000000001</v>
      </c>
      <c r="G39">
        <v>114.96</v>
      </c>
      <c r="H39" s="4">
        <f t="shared" si="0"/>
        <v>0.3536945812807884</v>
      </c>
    </row>
    <row r="40" spans="1:9" x14ac:dyDescent="0.35">
      <c r="A40" t="s">
        <v>169</v>
      </c>
      <c r="B40" t="s">
        <v>197</v>
      </c>
      <c r="C40">
        <v>2018</v>
      </c>
      <c r="D40">
        <v>2</v>
      </c>
      <c r="E40">
        <v>25</v>
      </c>
      <c r="F40">
        <v>222.11</v>
      </c>
      <c r="G40">
        <v>172.47</v>
      </c>
      <c r="H40" s="4">
        <f t="shared" si="0"/>
        <v>0.33661083610225817</v>
      </c>
    </row>
    <row r="41" spans="1:9" x14ac:dyDescent="0.35">
      <c r="A41" t="s">
        <v>170</v>
      </c>
      <c r="B41" t="s">
        <v>197</v>
      </c>
      <c r="C41">
        <v>2018</v>
      </c>
      <c r="D41">
        <v>48</v>
      </c>
      <c r="E41">
        <v>24.01</v>
      </c>
      <c r="F41">
        <v>219.91</v>
      </c>
      <c r="G41">
        <v>169.18</v>
      </c>
      <c r="H41" s="4">
        <f t="shared" si="0"/>
        <v>0.34945236619136172</v>
      </c>
    </row>
    <row r="42" spans="1:9" x14ac:dyDescent="0.35">
      <c r="A42" t="s">
        <v>171</v>
      </c>
      <c r="B42" t="s">
        <v>197</v>
      </c>
      <c r="C42">
        <v>2018</v>
      </c>
      <c r="D42">
        <v>24</v>
      </c>
      <c r="E42">
        <v>27.37</v>
      </c>
      <c r="F42">
        <v>204.87</v>
      </c>
      <c r="G42">
        <v>161.35</v>
      </c>
      <c r="H42" s="4">
        <f t="shared" si="0"/>
        <v>0.32482460068666974</v>
      </c>
    </row>
    <row r="43" spans="1:9" x14ac:dyDescent="0.35">
      <c r="A43" t="s">
        <v>172</v>
      </c>
      <c r="B43" t="s">
        <v>197</v>
      </c>
      <c r="C43">
        <v>2018</v>
      </c>
      <c r="D43">
        <v>12</v>
      </c>
      <c r="E43">
        <v>24.8</v>
      </c>
      <c r="F43">
        <v>228.27</v>
      </c>
      <c r="G43">
        <v>181.46</v>
      </c>
      <c r="H43" s="4">
        <f t="shared" si="0"/>
        <v>0.29879994893399719</v>
      </c>
    </row>
    <row r="44" spans="1:9" x14ac:dyDescent="0.35">
      <c r="A44" t="s">
        <v>173</v>
      </c>
      <c r="B44" t="s">
        <v>197</v>
      </c>
      <c r="C44">
        <v>2018</v>
      </c>
      <c r="D44">
        <v>63</v>
      </c>
      <c r="E44">
        <v>23.42</v>
      </c>
      <c r="F44">
        <v>159.46</v>
      </c>
      <c r="G44">
        <v>125.57</v>
      </c>
      <c r="H44" s="4">
        <f t="shared" si="0"/>
        <v>0.33176700930004926</v>
      </c>
    </row>
    <row r="45" spans="1:9" x14ac:dyDescent="0.35">
      <c r="A45" s="1" t="s">
        <v>192</v>
      </c>
      <c r="B45" t="s">
        <v>197</v>
      </c>
      <c r="C45">
        <v>2018</v>
      </c>
      <c r="D45" s="1" t="s">
        <v>191</v>
      </c>
      <c r="E45" s="1" t="s">
        <v>191</v>
      </c>
      <c r="F45" s="1" t="s">
        <v>191</v>
      </c>
      <c r="G45" s="1" t="s">
        <v>191</v>
      </c>
      <c r="H45" s="4" t="s">
        <v>191</v>
      </c>
      <c r="I45" t="s">
        <v>8</v>
      </c>
    </row>
    <row r="46" spans="1:9" x14ac:dyDescent="0.35">
      <c r="A46" t="s">
        <v>174</v>
      </c>
      <c r="B46" t="s">
        <v>197</v>
      </c>
      <c r="C46">
        <v>2018</v>
      </c>
      <c r="D46">
        <v>54</v>
      </c>
      <c r="E46">
        <v>22.73</v>
      </c>
      <c r="F46">
        <v>231.13</v>
      </c>
      <c r="G46">
        <v>180.68</v>
      </c>
      <c r="H46" s="4">
        <f t="shared" si="0"/>
        <v>0.31940487496043041</v>
      </c>
    </row>
    <row r="47" spans="1:9" x14ac:dyDescent="0.35">
      <c r="A47" t="s">
        <v>175</v>
      </c>
      <c r="B47" t="s">
        <v>197</v>
      </c>
      <c r="C47">
        <v>2018</v>
      </c>
      <c r="D47">
        <v>45</v>
      </c>
      <c r="E47">
        <v>23.81</v>
      </c>
      <c r="F47">
        <v>208.7</v>
      </c>
      <c r="G47">
        <v>163.5</v>
      </c>
      <c r="H47" s="4">
        <f t="shared" si="0"/>
        <v>0.32357362731763184</v>
      </c>
    </row>
    <row r="48" spans="1:9" x14ac:dyDescent="0.35">
      <c r="A48" t="s">
        <v>176</v>
      </c>
      <c r="B48" t="s">
        <v>197</v>
      </c>
      <c r="C48">
        <v>2018</v>
      </c>
      <c r="D48">
        <v>57</v>
      </c>
      <c r="E48">
        <v>23.38</v>
      </c>
      <c r="F48">
        <v>186.22</v>
      </c>
      <c r="G48">
        <v>141.99</v>
      </c>
      <c r="H48" s="4">
        <f t="shared" si="0"/>
        <v>0.37290279065846038</v>
      </c>
    </row>
    <row r="49" spans="1:8" x14ac:dyDescent="0.35">
      <c r="A49" t="s">
        <v>177</v>
      </c>
      <c r="B49" t="s">
        <v>197</v>
      </c>
      <c r="C49">
        <v>2018</v>
      </c>
      <c r="D49">
        <v>47</v>
      </c>
      <c r="E49">
        <v>23.23</v>
      </c>
      <c r="F49">
        <v>164.6</v>
      </c>
      <c r="G49">
        <v>128.32</v>
      </c>
      <c r="H49" s="4">
        <f t="shared" si="0"/>
        <v>0.34522789989532798</v>
      </c>
    </row>
    <row r="50" spans="1:8" x14ac:dyDescent="0.35">
      <c r="A50" t="s">
        <v>178</v>
      </c>
      <c r="B50" t="s">
        <v>197</v>
      </c>
      <c r="C50">
        <v>2018</v>
      </c>
      <c r="D50">
        <v>46</v>
      </c>
      <c r="E50">
        <v>23.84</v>
      </c>
      <c r="F50">
        <v>168.61</v>
      </c>
      <c r="G50">
        <v>132.57</v>
      </c>
      <c r="H50" s="4">
        <f t="shared" si="0"/>
        <v>0.33146325761059525</v>
      </c>
    </row>
    <row r="51" spans="1:8" x14ac:dyDescent="0.35">
      <c r="A51" t="s">
        <v>179</v>
      </c>
      <c r="B51" t="s">
        <v>197</v>
      </c>
      <c r="C51">
        <v>2018</v>
      </c>
      <c r="D51">
        <v>8</v>
      </c>
      <c r="E51">
        <v>23.15</v>
      </c>
      <c r="F51">
        <v>218.07</v>
      </c>
      <c r="G51">
        <v>169.71</v>
      </c>
      <c r="H51" s="4">
        <f t="shared" si="0"/>
        <v>0.32996724890829682</v>
      </c>
    </row>
    <row r="52" spans="1:8" x14ac:dyDescent="0.35">
      <c r="A52" t="s">
        <v>180</v>
      </c>
      <c r="B52" t="s">
        <v>197</v>
      </c>
      <c r="C52">
        <v>2018</v>
      </c>
      <c r="D52">
        <v>59</v>
      </c>
      <c r="E52">
        <v>22.67</v>
      </c>
      <c r="F52">
        <v>227.29</v>
      </c>
      <c r="G52">
        <v>176.79</v>
      </c>
      <c r="H52" s="4">
        <f t="shared" si="0"/>
        <v>0.32766675317934074</v>
      </c>
    </row>
    <row r="53" spans="1:8" x14ac:dyDescent="0.35">
      <c r="A53" t="s">
        <v>181</v>
      </c>
      <c r="B53" t="s">
        <v>197</v>
      </c>
      <c r="C53">
        <v>2018</v>
      </c>
      <c r="D53">
        <v>13</v>
      </c>
      <c r="E53">
        <v>24.23</v>
      </c>
      <c r="F53">
        <v>201.16</v>
      </c>
      <c r="G53">
        <v>157.16</v>
      </c>
      <c r="H53" s="4">
        <f t="shared" si="0"/>
        <v>0.33100127886857744</v>
      </c>
    </row>
    <row r="54" spans="1:8" x14ac:dyDescent="0.35">
      <c r="A54" t="s">
        <v>182</v>
      </c>
      <c r="B54" t="s">
        <v>197</v>
      </c>
      <c r="C54">
        <v>2018</v>
      </c>
      <c r="D54">
        <v>5</v>
      </c>
      <c r="E54">
        <v>25.26</v>
      </c>
      <c r="F54">
        <v>204.31</v>
      </c>
      <c r="G54">
        <v>161.82</v>
      </c>
      <c r="H54" s="4">
        <f t="shared" si="0"/>
        <v>0.31114528412419457</v>
      </c>
    </row>
    <row r="55" spans="1:8" x14ac:dyDescent="0.35">
      <c r="A55" t="s">
        <v>183</v>
      </c>
      <c r="B55" t="s">
        <v>197</v>
      </c>
      <c r="C55">
        <v>2018</v>
      </c>
      <c r="D55">
        <v>44</v>
      </c>
      <c r="E55">
        <v>23.85</v>
      </c>
      <c r="F55">
        <v>217.18</v>
      </c>
      <c r="G55">
        <v>171.82</v>
      </c>
      <c r="H55" s="4">
        <f t="shared" si="0"/>
        <v>0.30654862472122735</v>
      </c>
    </row>
    <row r="56" spans="1:8" x14ac:dyDescent="0.35">
      <c r="A56" t="s">
        <v>184</v>
      </c>
      <c r="B56" t="s">
        <v>197</v>
      </c>
      <c r="C56">
        <v>2018</v>
      </c>
      <c r="D56">
        <v>17</v>
      </c>
      <c r="E56">
        <v>24.55</v>
      </c>
      <c r="F56">
        <v>203.92</v>
      </c>
      <c r="G56">
        <v>158.47</v>
      </c>
      <c r="H56" s="4">
        <f t="shared" si="0"/>
        <v>0.33938172043010745</v>
      </c>
    </row>
    <row r="57" spans="1:8" x14ac:dyDescent="0.35">
      <c r="A57" t="s">
        <v>185</v>
      </c>
      <c r="B57" t="s">
        <v>197</v>
      </c>
      <c r="C57">
        <v>2018</v>
      </c>
      <c r="D57">
        <v>39</v>
      </c>
      <c r="E57">
        <v>23.34</v>
      </c>
      <c r="F57">
        <v>176.26</v>
      </c>
      <c r="G57">
        <v>138.97</v>
      </c>
      <c r="H57" s="4">
        <f t="shared" si="0"/>
        <v>0.32249416241459822</v>
      </c>
    </row>
    <row r="58" spans="1:8" x14ac:dyDescent="0.35">
      <c r="A58" t="s">
        <v>186</v>
      </c>
      <c r="B58" t="s">
        <v>197</v>
      </c>
      <c r="C58">
        <v>2018</v>
      </c>
      <c r="D58">
        <v>44</v>
      </c>
      <c r="E58">
        <v>24</v>
      </c>
      <c r="F58">
        <v>199.76</v>
      </c>
      <c r="G58">
        <v>159.75</v>
      </c>
      <c r="H58" s="4">
        <f t="shared" si="0"/>
        <v>0.29473296500920804</v>
      </c>
    </row>
    <row r="59" spans="1:8" x14ac:dyDescent="0.35">
      <c r="A59" t="s">
        <v>187</v>
      </c>
      <c r="B59" t="s">
        <v>197</v>
      </c>
      <c r="C59">
        <v>2018</v>
      </c>
      <c r="D59">
        <v>17</v>
      </c>
      <c r="E59">
        <v>24.57</v>
      </c>
      <c r="F59">
        <v>216.59</v>
      </c>
      <c r="G59">
        <v>167.98</v>
      </c>
      <c r="H59" s="4">
        <f t="shared" si="0"/>
        <v>0.33895823164353961</v>
      </c>
    </row>
    <row r="60" spans="1:8" x14ac:dyDescent="0.35">
      <c r="A60" t="s">
        <v>188</v>
      </c>
      <c r="B60" t="s">
        <v>197</v>
      </c>
      <c r="C60">
        <v>2018</v>
      </c>
      <c r="D60">
        <v>69</v>
      </c>
      <c r="E60">
        <v>24.53</v>
      </c>
      <c r="F60">
        <v>165.15</v>
      </c>
      <c r="G60">
        <v>129.94</v>
      </c>
      <c r="H60" s="4">
        <f t="shared" si="0"/>
        <v>0.33402902950384222</v>
      </c>
    </row>
    <row r="61" spans="1:8" x14ac:dyDescent="0.35">
      <c r="A61" t="s">
        <v>189</v>
      </c>
      <c r="B61" t="s">
        <v>197</v>
      </c>
      <c r="C61">
        <v>2018</v>
      </c>
      <c r="D61">
        <v>55</v>
      </c>
      <c r="E61">
        <v>23.96</v>
      </c>
      <c r="F61">
        <v>223.64</v>
      </c>
      <c r="G61">
        <v>178.59</v>
      </c>
      <c r="H61" s="4">
        <f t="shared" si="0"/>
        <v>0.29134061954342616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Lux</vt:lpstr>
      <vt:lpstr>SW Station</vt:lpstr>
      <vt:lpstr>NW Station</vt:lpstr>
    </vt:vector>
  </TitlesOfParts>
  <Company>Michigan State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Behrens, Eric</dc:creator>
  <cp:lastModifiedBy>Markus Bauer</cp:lastModifiedBy>
  <dcterms:created xsi:type="dcterms:W3CDTF">2018-12-04T14:45:59Z</dcterms:created>
  <dcterms:modified xsi:type="dcterms:W3CDTF">2026-03-12T08:23:39Z</dcterms:modified>
</cp:coreProperties>
</file>