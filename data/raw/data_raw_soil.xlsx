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marku\Documents\GitHub\2025_greeen_prairie\data\raw\"/>
    </mc:Choice>
  </mc:AlternateContent>
  <xr:revisionPtr revIDLastSave="0" documentId="13_ncr:1_{8C24C97F-9B5A-4F65-8998-694EB89E3E0C}" xr6:coauthVersionLast="47" xr6:coauthVersionMax="47" xr10:uidLastSave="{00000000-0000-0000-0000-000000000000}"/>
  <bookViews>
    <workbookView xWindow="-25320" yWindow="-9210" windowWidth="25440" windowHeight="15270" activeTab="2" xr2:uid="{00000000-000D-0000-FFFF-FFFF00000000}"/>
  </bookViews>
  <sheets>
    <sheet name="Lux" sheetId="1" r:id="rId1"/>
    <sheet name="SW Station" sheetId="2" r:id="rId2"/>
    <sheet name="NW St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2" i="3"/>
  <c r="G44" i="2"/>
  <c r="G11" i="1" l="1"/>
  <c r="G12" i="1"/>
  <c r="G19" i="1"/>
  <c r="G20" i="1"/>
  <c r="G21" i="1"/>
  <c r="G27" i="1"/>
  <c r="G29" i="1"/>
  <c r="G31" i="1"/>
  <c r="G32" i="1"/>
  <c r="G5" i="1"/>
  <c r="G43" i="1"/>
  <c r="G44" i="1"/>
  <c r="G53" i="1"/>
  <c r="G8" i="1"/>
  <c r="G10" i="1"/>
  <c r="G16" i="2" l="1"/>
  <c r="G17" i="2"/>
  <c r="G19" i="2"/>
  <c r="G20" i="2"/>
  <c r="G22" i="2"/>
  <c r="G23" i="2"/>
  <c r="G29" i="2"/>
  <c r="G30" i="2"/>
  <c r="G34" i="2"/>
  <c r="G35" i="2"/>
  <c r="G37" i="2"/>
  <c r="G39" i="2"/>
  <c r="G40" i="2"/>
  <c r="G41" i="2"/>
  <c r="G42" i="2"/>
  <c r="G45" i="2"/>
  <c r="G46" i="2"/>
  <c r="G47" i="2"/>
  <c r="G53" i="2"/>
  <c r="G54" i="2"/>
  <c r="G57" i="2"/>
  <c r="G12" i="2"/>
  <c r="G18" i="2"/>
  <c r="G24" i="2"/>
  <c r="G25" i="2"/>
  <c r="G26" i="2"/>
  <c r="G28" i="2"/>
  <c r="G31" i="2"/>
  <c r="G32" i="2"/>
  <c r="G33" i="2"/>
  <c r="G36" i="2"/>
  <c r="G38" i="2"/>
  <c r="G43" i="2"/>
  <c r="G48" i="2"/>
  <c r="G50" i="2"/>
  <c r="G52" i="2"/>
  <c r="G56" i="2"/>
  <c r="G58" i="2"/>
  <c r="G59" i="2"/>
  <c r="G60" i="2"/>
  <c r="G9" i="2"/>
  <c r="G15" i="2"/>
  <c r="G14" i="2"/>
  <c r="G21" i="2"/>
  <c r="G27" i="2"/>
  <c r="G49" i="2"/>
  <c r="G51" i="2"/>
  <c r="G55" i="2"/>
  <c r="G61" i="2"/>
  <c r="G2" i="2"/>
  <c r="G4" i="2"/>
  <c r="G5" i="2"/>
  <c r="G6" i="2"/>
  <c r="G7" i="2"/>
  <c r="G8" i="2"/>
  <c r="G10" i="2"/>
  <c r="G11" i="2"/>
  <c r="G13" i="2"/>
  <c r="G3" i="2"/>
  <c r="G30" i="1"/>
  <c r="G9" i="1"/>
  <c r="G3" i="1" l="1"/>
  <c r="G4" i="1"/>
  <c r="G6" i="1"/>
  <c r="G7" i="1"/>
  <c r="G13" i="1"/>
  <c r="G14" i="1"/>
  <c r="G15" i="1"/>
  <c r="G16" i="1"/>
  <c r="G17" i="1"/>
  <c r="G18" i="1"/>
  <c r="G22" i="1"/>
  <c r="G23" i="1"/>
  <c r="G24" i="1"/>
  <c r="G25" i="1"/>
  <c r="G26" i="1"/>
  <c r="G28" i="1"/>
  <c r="G33" i="1"/>
  <c r="G34" i="1"/>
  <c r="G35" i="1"/>
  <c r="G36" i="1"/>
  <c r="G37" i="1"/>
  <c r="G38" i="1"/>
  <c r="G39" i="1"/>
  <c r="G40" i="1"/>
  <c r="G41" i="1"/>
  <c r="G42" i="1"/>
  <c r="G45" i="1"/>
  <c r="G46" i="1"/>
  <c r="G47" i="1"/>
  <c r="G48" i="1"/>
  <c r="G49" i="1"/>
  <c r="G50" i="1"/>
  <c r="G51" i="1"/>
  <c r="G52" i="1"/>
  <c r="G54" i="1"/>
  <c r="G55" i="1"/>
  <c r="G56" i="1"/>
  <c r="G57" i="1"/>
  <c r="G58" i="1"/>
  <c r="G59" i="1"/>
  <c r="G60" i="1"/>
  <c r="G61" i="1"/>
  <c r="G2" i="1"/>
</calcChain>
</file>

<file path=xl/sharedStrings.xml><?xml version="1.0" encoding="utf-8"?>
<sst xmlns="http://schemas.openxmlformats.org/spreadsheetml/2006/main" count="209" uniqueCount="191">
  <si>
    <t>tinfilter_g</t>
  </si>
  <si>
    <t>soil_soaked_g</t>
  </si>
  <si>
    <t>soil_dried_g</t>
  </si>
  <si>
    <t>Notes</t>
  </si>
  <si>
    <t>water_cap</t>
  </si>
  <si>
    <t xml:space="preserve">Duplicate: Confirmed Correct Plot Label </t>
  </si>
  <si>
    <t>new tin</t>
  </si>
  <si>
    <t xml:space="preserve">new tin, confirmed plot 13 </t>
  </si>
  <si>
    <t>Missing</t>
  </si>
  <si>
    <t>new tin, Check previous records, this is likely not Plot 3 because another number in front has been rubbed off, Confirmed Plot 43</t>
  </si>
  <si>
    <t>year</t>
  </si>
  <si>
    <t>id_plot</t>
  </si>
  <si>
    <t>Lux_1</t>
  </si>
  <si>
    <t>Lux_2</t>
  </si>
  <si>
    <t>Lux_3</t>
  </si>
  <si>
    <t>Lux_4</t>
  </si>
  <si>
    <t>Lux_5</t>
  </si>
  <si>
    <t>Lux_6</t>
  </si>
  <si>
    <t>Lux_7</t>
  </si>
  <si>
    <t>Lux_8</t>
  </si>
  <si>
    <t>Lux_9</t>
  </si>
  <si>
    <t>Lux_10</t>
  </si>
  <si>
    <t>Lux_11</t>
  </si>
  <si>
    <t>Lux_12</t>
  </si>
  <si>
    <t>Lux_13</t>
  </si>
  <si>
    <t>Lux_14</t>
  </si>
  <si>
    <t>Lux_15</t>
  </si>
  <si>
    <t>Lux_16</t>
  </si>
  <si>
    <t>Lux_17</t>
  </si>
  <si>
    <t>Lux_18</t>
  </si>
  <si>
    <t>Lux_19</t>
  </si>
  <si>
    <t>Lux_20</t>
  </si>
  <si>
    <t>Lux_21</t>
  </si>
  <si>
    <t>Lux_22</t>
  </si>
  <si>
    <t>Lux_23</t>
  </si>
  <si>
    <t>Lux_24</t>
  </si>
  <si>
    <t>Lux_25</t>
  </si>
  <si>
    <t>Lux_26</t>
  </si>
  <si>
    <t>Lux_27</t>
  </si>
  <si>
    <t>Lux_28</t>
  </si>
  <si>
    <t>Lux_29</t>
  </si>
  <si>
    <t>Lux_30</t>
  </si>
  <si>
    <t>Lux_31</t>
  </si>
  <si>
    <t>Lux_32</t>
  </si>
  <si>
    <t>Lux_33</t>
  </si>
  <si>
    <t>Lux_34</t>
  </si>
  <si>
    <t>Lux_35</t>
  </si>
  <si>
    <t>Lux_36</t>
  </si>
  <si>
    <t>Lux_37</t>
  </si>
  <si>
    <t>Lux_38</t>
  </si>
  <si>
    <t>Lux_39</t>
  </si>
  <si>
    <t>Lux_40</t>
  </si>
  <si>
    <t>Lux_41</t>
  </si>
  <si>
    <t>Lux_42</t>
  </si>
  <si>
    <t>Lux_43</t>
  </si>
  <si>
    <t>Lux_44</t>
  </si>
  <si>
    <t>Lux_45</t>
  </si>
  <si>
    <t>Lux_46</t>
  </si>
  <si>
    <t>Lux_47</t>
  </si>
  <si>
    <t>Lux_48</t>
  </si>
  <si>
    <t>Lux_49</t>
  </si>
  <si>
    <t>Lux_50</t>
  </si>
  <si>
    <t>Lux_51</t>
  </si>
  <si>
    <t>Lux_52</t>
  </si>
  <si>
    <t>Lux_53</t>
  </si>
  <si>
    <t>Lux_54</t>
  </si>
  <si>
    <t>Lux_55</t>
  </si>
  <si>
    <t>Lux_56</t>
  </si>
  <si>
    <t>Lux_57</t>
  </si>
  <si>
    <t>Lux_58</t>
  </si>
  <si>
    <t>Lux_59</t>
  </si>
  <si>
    <t>Lux_60</t>
  </si>
  <si>
    <t>SWS_1</t>
  </si>
  <si>
    <t>SWS_2</t>
  </si>
  <si>
    <t>SWS_3</t>
  </si>
  <si>
    <t>SWS_4</t>
  </si>
  <si>
    <t>SWS_5</t>
  </si>
  <si>
    <t>SWS_6</t>
  </si>
  <si>
    <t>SWS_7</t>
  </si>
  <si>
    <t>SWS_8</t>
  </si>
  <si>
    <t>SWS_9</t>
  </si>
  <si>
    <t>SWS_10</t>
  </si>
  <si>
    <t>SWS_11</t>
  </si>
  <si>
    <t>SWS_12</t>
  </si>
  <si>
    <t>SWS_13</t>
  </si>
  <si>
    <t>SWS_14</t>
  </si>
  <si>
    <t>SWS_15</t>
  </si>
  <si>
    <t>SWS_16</t>
  </si>
  <si>
    <t>SWS_17</t>
  </si>
  <si>
    <t>SWS_18</t>
  </si>
  <si>
    <t>SWS_19</t>
  </si>
  <si>
    <t>SWS_20</t>
  </si>
  <si>
    <t>SWS_21</t>
  </si>
  <si>
    <t>SWS_22</t>
  </si>
  <si>
    <t>SWS_23</t>
  </si>
  <si>
    <t>SWS_24</t>
  </si>
  <si>
    <t>SWS_25</t>
  </si>
  <si>
    <t>SWS_26</t>
  </si>
  <si>
    <t>SWS_27</t>
  </si>
  <si>
    <t>SWS_28</t>
  </si>
  <si>
    <t>SWS_29</t>
  </si>
  <si>
    <t>SWS_30</t>
  </si>
  <si>
    <t>SWS_31</t>
  </si>
  <si>
    <t>SWS_32</t>
  </si>
  <si>
    <t>SWS_33</t>
  </si>
  <si>
    <t>SWS_34</t>
  </si>
  <si>
    <t>SWS_35</t>
  </si>
  <si>
    <t>SWS_36</t>
  </si>
  <si>
    <t>SWS_37</t>
  </si>
  <si>
    <t>SWS_38</t>
  </si>
  <si>
    <t>SWS_39</t>
  </si>
  <si>
    <t>SWS_40</t>
  </si>
  <si>
    <t>SWS_41</t>
  </si>
  <si>
    <t>SWS_42</t>
  </si>
  <si>
    <t>SWS_43</t>
  </si>
  <si>
    <t>SWS_44</t>
  </si>
  <si>
    <t>SWS_45</t>
  </si>
  <si>
    <t>SWS_46</t>
  </si>
  <si>
    <t>SWS_47</t>
  </si>
  <si>
    <t>SWS_48</t>
  </si>
  <si>
    <t>SWS_49</t>
  </si>
  <si>
    <t>SWS_50</t>
  </si>
  <si>
    <t>SWS_51</t>
  </si>
  <si>
    <t>SWS_52</t>
  </si>
  <si>
    <t>SWS_53</t>
  </si>
  <si>
    <t>SWS_54</t>
  </si>
  <si>
    <t>SWS_55</t>
  </si>
  <si>
    <t>SWS_56</t>
  </si>
  <si>
    <t>SWS_57</t>
  </si>
  <si>
    <t>SWS_58</t>
  </si>
  <si>
    <t>SWS_59</t>
  </si>
  <si>
    <t>SWS_60</t>
  </si>
  <si>
    <t>NWS_1</t>
  </si>
  <si>
    <t>NWS_2</t>
  </si>
  <si>
    <t>NWS_3</t>
  </si>
  <si>
    <t>NWS_4</t>
  </si>
  <si>
    <t>NWS_5</t>
  </si>
  <si>
    <t>NWS_6</t>
  </si>
  <si>
    <t>NWS_7</t>
  </si>
  <si>
    <t>NWS_8</t>
  </si>
  <si>
    <t>NWS_9</t>
  </si>
  <si>
    <t>NWS_10</t>
  </si>
  <si>
    <t>NWS_11</t>
  </si>
  <si>
    <t>NWS_12</t>
  </si>
  <si>
    <t>NWS_13</t>
  </si>
  <si>
    <t>NWS_14</t>
  </si>
  <si>
    <t>NWS_15</t>
  </si>
  <si>
    <t>NWS_16</t>
  </si>
  <si>
    <t>NWS_17</t>
  </si>
  <si>
    <t>NWS_19</t>
  </si>
  <si>
    <t>NWS_20</t>
  </si>
  <si>
    <t>NWS_21</t>
  </si>
  <si>
    <t>NWS_22</t>
  </si>
  <si>
    <t>NWS_23</t>
  </si>
  <si>
    <t>NWS_24</t>
  </si>
  <si>
    <t>NWS_25</t>
  </si>
  <si>
    <t>NWS_26</t>
  </si>
  <si>
    <t>NWS_27</t>
  </si>
  <si>
    <t>NWS_28</t>
  </si>
  <si>
    <t>NWS_29</t>
  </si>
  <si>
    <t>NWS_30</t>
  </si>
  <si>
    <t>NWS_31</t>
  </si>
  <si>
    <t>NWS_32</t>
  </si>
  <si>
    <t>NWS_33</t>
  </si>
  <si>
    <t>NWS_34</t>
  </si>
  <si>
    <t>NWS_35</t>
  </si>
  <si>
    <t>NWS_36</t>
  </si>
  <si>
    <t>NWS_37</t>
  </si>
  <si>
    <t>NWS_38</t>
  </si>
  <si>
    <t>NWS_39</t>
  </si>
  <si>
    <t>NWS_40</t>
  </si>
  <si>
    <t>NWS_41</t>
  </si>
  <si>
    <t>NWS_42</t>
  </si>
  <si>
    <t>NWS_43</t>
  </si>
  <si>
    <t>NWS_45</t>
  </si>
  <si>
    <t>NWS_46</t>
  </si>
  <si>
    <t>NWS_47</t>
  </si>
  <si>
    <t>NWS_48</t>
  </si>
  <si>
    <t>NWS_49</t>
  </si>
  <si>
    <t>NWS_50</t>
  </si>
  <si>
    <t>NWS_51</t>
  </si>
  <si>
    <t>NWS_52</t>
  </si>
  <si>
    <t>NWS_53</t>
  </si>
  <si>
    <t>NWS_54</t>
  </si>
  <si>
    <t>NWS_55</t>
  </si>
  <si>
    <t>NWS_56</t>
  </si>
  <si>
    <t>NWS_57</t>
  </si>
  <si>
    <t>NWS_58</t>
  </si>
  <si>
    <t>NWS_59</t>
  </si>
  <si>
    <t>NWS_60</t>
  </si>
  <si>
    <t>id_tin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</si>
</sst>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164" fontId="1" fillId="0" borderId="0" xfId="0" applyNumberFormat="1" applyFont="1" applyAlignment="1">
      <alignment horizontal="right"/>
    </xf>
    <xf numFmtId="164" fontId="0" fillId="0" borderId="0" xfId="0" applyNumberFormat="1"/>
    <xf numFmtId="164" fontId="1" fillId="0" borderId="0" xfId="0" applyNumberFormat="1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opLeftCell="A19" workbookViewId="0">
      <selection activeCell="D17" sqref="D17"/>
    </sheetView>
  </sheetViews>
  <sheetFormatPr baseColWidth="10" defaultColWidth="8.7265625" defaultRowHeight="14.5" x14ac:dyDescent="0.35"/>
  <cols>
    <col min="1" max="1" width="14.7265625" bestFit="1" customWidth="1"/>
    <col min="2" max="2" width="15" customWidth="1"/>
    <col min="4" max="4" width="9.81640625" bestFit="1" customWidth="1"/>
    <col min="5" max="5" width="13.54296875" bestFit="1" customWidth="1"/>
    <col min="6" max="6" width="11.81640625" bestFit="1" customWidth="1"/>
    <col min="7" max="7" width="11.81640625" customWidth="1"/>
    <col min="8" max="8" width="37.1796875" bestFit="1" customWidth="1"/>
  </cols>
  <sheetData>
    <row r="1" spans="1:12" x14ac:dyDescent="0.35">
      <c r="A1" s="2" t="s">
        <v>11</v>
      </c>
      <c r="B1" s="2" t="s">
        <v>10</v>
      </c>
      <c r="C1" s="2" t="s">
        <v>190</v>
      </c>
      <c r="D1" s="3" t="s">
        <v>0</v>
      </c>
      <c r="E1" s="3" t="s">
        <v>1</v>
      </c>
      <c r="F1" s="3" t="s">
        <v>2</v>
      </c>
      <c r="G1" s="3" t="s">
        <v>4</v>
      </c>
      <c r="H1" s="3" t="s">
        <v>3</v>
      </c>
      <c r="J1" s="2"/>
      <c r="K1" s="2"/>
      <c r="L1" s="2"/>
    </row>
    <row r="2" spans="1:12" x14ac:dyDescent="0.35">
      <c r="A2" t="s">
        <v>12</v>
      </c>
      <c r="B2">
        <v>2018</v>
      </c>
      <c r="C2">
        <v>62</v>
      </c>
      <c r="D2">
        <v>23.87</v>
      </c>
      <c r="E2">
        <v>216.08</v>
      </c>
      <c r="F2">
        <v>148.06</v>
      </c>
      <c r="G2" s="4">
        <f t="shared" ref="G2:G33" si="0">((E2-D2)-(F2-D2))/(F2-D2)</f>
        <v>0.54770915532651587</v>
      </c>
      <c r="J2" s="4"/>
      <c r="K2" s="4"/>
      <c r="L2" s="4"/>
    </row>
    <row r="3" spans="1:12" x14ac:dyDescent="0.35">
      <c r="A3" t="s">
        <v>13</v>
      </c>
      <c r="B3">
        <v>2018</v>
      </c>
      <c r="C3">
        <v>71</v>
      </c>
      <c r="D3">
        <v>24.76</v>
      </c>
      <c r="E3">
        <v>188.66</v>
      </c>
      <c r="F3">
        <v>127.25</v>
      </c>
      <c r="G3" s="4">
        <f t="shared" si="0"/>
        <v>0.59918040784466786</v>
      </c>
    </row>
    <row r="4" spans="1:12" x14ac:dyDescent="0.35">
      <c r="A4" t="s">
        <v>14</v>
      </c>
      <c r="B4">
        <v>2018</v>
      </c>
      <c r="C4">
        <v>60</v>
      </c>
      <c r="D4">
        <v>24.23</v>
      </c>
      <c r="E4">
        <v>160.82</v>
      </c>
      <c r="F4">
        <v>108.15</v>
      </c>
      <c r="G4" s="4">
        <f t="shared" si="0"/>
        <v>0.62762154432793138</v>
      </c>
    </row>
    <row r="5" spans="1:12" x14ac:dyDescent="0.35">
      <c r="A5" t="s">
        <v>15</v>
      </c>
      <c r="B5">
        <v>2018</v>
      </c>
      <c r="C5">
        <v>1</v>
      </c>
      <c r="D5">
        <v>23.94</v>
      </c>
      <c r="E5">
        <v>176.17</v>
      </c>
      <c r="F5">
        <v>118.93</v>
      </c>
      <c r="G5" s="4">
        <f t="shared" si="0"/>
        <v>0.60258974628908279</v>
      </c>
    </row>
    <row r="6" spans="1:12" x14ac:dyDescent="0.35">
      <c r="A6" t="s">
        <v>16</v>
      </c>
      <c r="B6">
        <v>2018</v>
      </c>
      <c r="C6">
        <v>65</v>
      </c>
      <c r="D6">
        <v>23.38</v>
      </c>
      <c r="E6">
        <v>181.66</v>
      </c>
      <c r="F6">
        <v>121.82</v>
      </c>
      <c r="G6" s="4">
        <f t="shared" si="0"/>
        <v>0.6078829744006502</v>
      </c>
    </row>
    <row r="7" spans="1:12" x14ac:dyDescent="0.35">
      <c r="A7" t="s">
        <v>17</v>
      </c>
      <c r="B7">
        <v>2018</v>
      </c>
      <c r="C7">
        <v>41</v>
      </c>
      <c r="D7">
        <v>23.91</v>
      </c>
      <c r="E7">
        <v>205.14</v>
      </c>
      <c r="F7">
        <v>141.46</v>
      </c>
      <c r="G7" s="4">
        <f t="shared" si="0"/>
        <v>0.54172692471288786</v>
      </c>
    </row>
    <row r="8" spans="1:12" x14ac:dyDescent="0.35">
      <c r="A8" t="s">
        <v>18</v>
      </c>
      <c r="B8">
        <v>2018</v>
      </c>
      <c r="C8">
        <v>43</v>
      </c>
      <c r="D8">
        <v>24.31</v>
      </c>
      <c r="E8">
        <v>207.65</v>
      </c>
      <c r="F8">
        <v>148.56</v>
      </c>
      <c r="G8" s="4">
        <f t="shared" si="0"/>
        <v>0.4755734406438632</v>
      </c>
    </row>
    <row r="9" spans="1:12" x14ac:dyDescent="0.35">
      <c r="A9" t="s">
        <v>19</v>
      </c>
      <c r="B9">
        <v>2018</v>
      </c>
      <c r="C9">
        <v>68</v>
      </c>
      <c r="D9">
        <v>24.06</v>
      </c>
      <c r="E9">
        <v>186.56</v>
      </c>
      <c r="F9">
        <v>132.52000000000001</v>
      </c>
      <c r="G9" s="4">
        <f t="shared" si="0"/>
        <v>0.49824820210215737</v>
      </c>
    </row>
    <row r="10" spans="1:12" x14ac:dyDescent="0.35">
      <c r="A10" t="s">
        <v>20</v>
      </c>
      <c r="B10">
        <v>2018</v>
      </c>
      <c r="C10">
        <v>40</v>
      </c>
      <c r="D10">
        <v>23.88</v>
      </c>
      <c r="E10">
        <v>209.44</v>
      </c>
      <c r="F10">
        <v>146.9</v>
      </c>
      <c r="G10" s="4">
        <f t="shared" si="0"/>
        <v>0.50837262233783109</v>
      </c>
    </row>
    <row r="11" spans="1:12" x14ac:dyDescent="0.35">
      <c r="A11" t="s">
        <v>21</v>
      </c>
      <c r="B11">
        <v>2018</v>
      </c>
      <c r="C11">
        <v>59</v>
      </c>
      <c r="D11">
        <v>22.57</v>
      </c>
      <c r="E11">
        <v>198.73</v>
      </c>
      <c r="F11">
        <v>141.82</v>
      </c>
      <c r="G11" s="4">
        <f t="shared" si="0"/>
        <v>0.4772327044025157</v>
      </c>
    </row>
    <row r="12" spans="1:12" x14ac:dyDescent="0.35">
      <c r="A12" t="s">
        <v>22</v>
      </c>
      <c r="B12">
        <v>2018</v>
      </c>
      <c r="C12">
        <v>47</v>
      </c>
      <c r="D12">
        <v>23.08</v>
      </c>
      <c r="E12">
        <v>208.4</v>
      </c>
      <c r="F12">
        <v>148.53</v>
      </c>
      <c r="G12" s="4">
        <f t="shared" si="0"/>
        <v>0.47724192905540047</v>
      </c>
      <c r="H12" s="4"/>
    </row>
    <row r="13" spans="1:12" x14ac:dyDescent="0.35">
      <c r="A13" t="s">
        <v>23</v>
      </c>
      <c r="B13">
        <v>2018</v>
      </c>
      <c r="C13">
        <v>51</v>
      </c>
      <c r="D13">
        <v>24.44</v>
      </c>
      <c r="E13">
        <v>203.49</v>
      </c>
      <c r="F13">
        <v>139.77000000000001</v>
      </c>
      <c r="G13" s="4">
        <f t="shared" si="0"/>
        <v>0.5525015173848955</v>
      </c>
    </row>
    <row r="14" spans="1:12" x14ac:dyDescent="0.35">
      <c r="A14" t="s">
        <v>24</v>
      </c>
      <c r="B14">
        <v>2018</v>
      </c>
      <c r="C14">
        <v>53</v>
      </c>
      <c r="D14">
        <v>23.14</v>
      </c>
      <c r="E14">
        <v>200.42</v>
      </c>
      <c r="F14">
        <v>143.6</v>
      </c>
      <c r="G14" s="4">
        <f t="shared" si="0"/>
        <v>0.47169184791632063</v>
      </c>
    </row>
    <row r="15" spans="1:12" x14ac:dyDescent="0.35">
      <c r="A15" t="s">
        <v>25</v>
      </c>
      <c r="B15">
        <v>2018</v>
      </c>
      <c r="C15">
        <v>33</v>
      </c>
      <c r="D15">
        <v>25.32</v>
      </c>
      <c r="E15">
        <v>171.67</v>
      </c>
      <c r="F15">
        <v>114.13</v>
      </c>
      <c r="G15" s="4">
        <f t="shared" si="0"/>
        <v>0.64790001125999319</v>
      </c>
    </row>
    <row r="16" spans="1:12" x14ac:dyDescent="0.35">
      <c r="A16" t="s">
        <v>26</v>
      </c>
      <c r="B16">
        <v>2018</v>
      </c>
      <c r="C16">
        <v>9</v>
      </c>
      <c r="D16">
        <v>23.86</v>
      </c>
      <c r="E16">
        <v>169.9</v>
      </c>
      <c r="F16">
        <v>123.08</v>
      </c>
      <c r="G16" s="4">
        <f t="shared" si="0"/>
        <v>0.47188066921991556</v>
      </c>
    </row>
    <row r="17" spans="1:8" x14ac:dyDescent="0.35">
      <c r="A17" t="s">
        <v>27</v>
      </c>
      <c r="B17">
        <v>2018</v>
      </c>
      <c r="C17">
        <v>36</v>
      </c>
      <c r="D17">
        <v>24.09</v>
      </c>
      <c r="E17">
        <v>202.81</v>
      </c>
      <c r="F17">
        <v>144.28</v>
      </c>
      <c r="G17" s="4">
        <f t="shared" si="0"/>
        <v>0.48697894999583996</v>
      </c>
    </row>
    <row r="18" spans="1:8" x14ac:dyDescent="0.35">
      <c r="A18" t="s">
        <v>28</v>
      </c>
      <c r="B18">
        <v>2018</v>
      </c>
      <c r="C18">
        <v>20</v>
      </c>
      <c r="D18">
        <v>23.24</v>
      </c>
      <c r="E18">
        <v>193.46</v>
      </c>
      <c r="F18">
        <v>137.03</v>
      </c>
      <c r="G18" s="4">
        <f t="shared" si="0"/>
        <v>0.49591352491431573</v>
      </c>
    </row>
    <row r="19" spans="1:8" x14ac:dyDescent="0.35">
      <c r="A19" t="s">
        <v>29</v>
      </c>
      <c r="B19">
        <v>2018</v>
      </c>
      <c r="C19">
        <v>61</v>
      </c>
      <c r="D19">
        <v>27.38</v>
      </c>
      <c r="E19">
        <v>204.24</v>
      </c>
      <c r="F19">
        <v>141.16999999999999</v>
      </c>
      <c r="G19" s="4">
        <f t="shared" si="0"/>
        <v>0.55426663151419309</v>
      </c>
      <c r="H19" s="4"/>
    </row>
    <row r="20" spans="1:8" x14ac:dyDescent="0.35">
      <c r="A20" t="s">
        <v>30</v>
      </c>
      <c r="B20">
        <v>2018</v>
      </c>
      <c r="C20">
        <v>51</v>
      </c>
      <c r="D20">
        <v>24.26</v>
      </c>
      <c r="E20">
        <v>217.47</v>
      </c>
      <c r="F20">
        <v>156.57</v>
      </c>
      <c r="G20" s="4">
        <f t="shared" si="0"/>
        <v>0.46028266948832292</v>
      </c>
    </row>
    <row r="21" spans="1:8" x14ac:dyDescent="0.35">
      <c r="A21" t="s">
        <v>31</v>
      </c>
      <c r="B21">
        <v>2018</v>
      </c>
      <c r="C21">
        <v>63</v>
      </c>
      <c r="D21">
        <v>27.58</v>
      </c>
      <c r="E21">
        <v>182.11</v>
      </c>
      <c r="F21">
        <v>121.4</v>
      </c>
      <c r="G21" s="4">
        <f t="shared" si="0"/>
        <v>0.64709017267107249</v>
      </c>
    </row>
    <row r="22" spans="1:8" x14ac:dyDescent="0.35">
      <c r="A22" t="s">
        <v>32</v>
      </c>
      <c r="B22">
        <v>2018</v>
      </c>
      <c r="C22">
        <v>42</v>
      </c>
      <c r="D22">
        <v>25.1</v>
      </c>
      <c r="E22">
        <v>192.52</v>
      </c>
      <c r="F22">
        <v>135.63999999999999</v>
      </c>
      <c r="G22" s="4">
        <f t="shared" si="0"/>
        <v>0.51456486339786522</v>
      </c>
    </row>
    <row r="23" spans="1:8" x14ac:dyDescent="0.35">
      <c r="A23" t="s">
        <v>33</v>
      </c>
      <c r="B23">
        <v>2018</v>
      </c>
      <c r="C23">
        <v>48</v>
      </c>
      <c r="D23">
        <v>24.38</v>
      </c>
      <c r="E23">
        <v>212.01</v>
      </c>
      <c r="F23">
        <v>148.38</v>
      </c>
      <c r="G23" s="4">
        <f t="shared" si="0"/>
        <v>0.5131451612903225</v>
      </c>
    </row>
    <row r="24" spans="1:8" x14ac:dyDescent="0.35">
      <c r="A24" s="1" t="s">
        <v>34</v>
      </c>
      <c r="B24">
        <v>2018</v>
      </c>
      <c r="C24">
        <v>40</v>
      </c>
      <c r="D24">
        <v>24.07</v>
      </c>
      <c r="E24">
        <v>152.85</v>
      </c>
      <c r="F24">
        <v>109.21</v>
      </c>
      <c r="G24" s="4">
        <f t="shared" si="0"/>
        <v>0.51256753582335002</v>
      </c>
      <c r="H24" t="s">
        <v>5</v>
      </c>
    </row>
    <row r="25" spans="1:8" x14ac:dyDescent="0.35">
      <c r="A25" t="s">
        <v>35</v>
      </c>
      <c r="B25">
        <v>2018</v>
      </c>
      <c r="C25">
        <v>12</v>
      </c>
      <c r="D25">
        <v>24.98</v>
      </c>
      <c r="E25">
        <v>185.44</v>
      </c>
      <c r="F25">
        <v>130.66</v>
      </c>
      <c r="G25" s="4">
        <f t="shared" si="0"/>
        <v>0.51835730507191535</v>
      </c>
    </row>
    <row r="26" spans="1:8" x14ac:dyDescent="0.35">
      <c r="A26" t="s">
        <v>36</v>
      </c>
      <c r="B26">
        <v>2018</v>
      </c>
      <c r="C26">
        <v>63</v>
      </c>
      <c r="D26">
        <v>23.45</v>
      </c>
      <c r="E26">
        <v>199.78</v>
      </c>
      <c r="F26">
        <v>143.63</v>
      </c>
      <c r="G26" s="4">
        <f t="shared" si="0"/>
        <v>0.46721584290231338</v>
      </c>
    </row>
    <row r="27" spans="1:8" x14ac:dyDescent="0.35">
      <c r="A27" t="s">
        <v>37</v>
      </c>
      <c r="B27">
        <v>2018</v>
      </c>
      <c r="C27">
        <v>69</v>
      </c>
      <c r="D27">
        <v>24.36</v>
      </c>
      <c r="E27">
        <v>173.15</v>
      </c>
      <c r="F27">
        <v>114.85</v>
      </c>
      <c r="G27" s="4">
        <f t="shared" si="0"/>
        <v>0.64427008509227568</v>
      </c>
    </row>
    <row r="28" spans="1:8" x14ac:dyDescent="0.35">
      <c r="A28" t="s">
        <v>38</v>
      </c>
      <c r="B28">
        <v>2018</v>
      </c>
      <c r="C28">
        <v>46</v>
      </c>
      <c r="D28">
        <v>23.82</v>
      </c>
      <c r="E28">
        <v>188</v>
      </c>
      <c r="F28">
        <v>132.07</v>
      </c>
      <c r="G28" s="4">
        <f t="shared" si="0"/>
        <v>0.51667436489607399</v>
      </c>
    </row>
    <row r="29" spans="1:8" x14ac:dyDescent="0.35">
      <c r="A29" t="s">
        <v>39</v>
      </c>
      <c r="B29">
        <v>2018</v>
      </c>
      <c r="C29">
        <v>31</v>
      </c>
      <c r="D29">
        <v>27.87</v>
      </c>
      <c r="E29">
        <v>217.16</v>
      </c>
      <c r="F29">
        <v>157.18</v>
      </c>
      <c r="G29" s="4">
        <f t="shared" si="0"/>
        <v>0.46384657025752057</v>
      </c>
    </row>
    <row r="30" spans="1:8" x14ac:dyDescent="0.35">
      <c r="A30" t="s">
        <v>40</v>
      </c>
      <c r="B30">
        <v>2018</v>
      </c>
      <c r="C30">
        <v>33</v>
      </c>
      <c r="D30">
        <v>25.04</v>
      </c>
      <c r="E30">
        <v>189.83</v>
      </c>
      <c r="F30">
        <v>135.69</v>
      </c>
      <c r="G30" s="4">
        <f t="shared" si="0"/>
        <v>0.48929055580659747</v>
      </c>
    </row>
    <row r="31" spans="1:8" x14ac:dyDescent="0.35">
      <c r="A31" t="s">
        <v>41</v>
      </c>
      <c r="B31">
        <v>2018</v>
      </c>
      <c r="C31">
        <v>18</v>
      </c>
      <c r="D31">
        <v>22.6</v>
      </c>
      <c r="E31">
        <v>193.59</v>
      </c>
      <c r="F31">
        <v>136.56</v>
      </c>
      <c r="G31" s="4">
        <f t="shared" si="0"/>
        <v>0.50043875043875041</v>
      </c>
    </row>
    <row r="32" spans="1:8" x14ac:dyDescent="0.35">
      <c r="A32" t="s">
        <v>42</v>
      </c>
      <c r="B32">
        <v>2018</v>
      </c>
      <c r="C32">
        <v>57</v>
      </c>
      <c r="D32">
        <v>23.29</v>
      </c>
      <c r="E32">
        <v>200.16</v>
      </c>
      <c r="F32">
        <v>142.93</v>
      </c>
      <c r="G32" s="4">
        <f t="shared" si="0"/>
        <v>0.47835172183216301</v>
      </c>
    </row>
    <row r="33" spans="1:7" x14ac:dyDescent="0.35">
      <c r="A33" t="s">
        <v>43</v>
      </c>
      <c r="B33">
        <v>2018</v>
      </c>
      <c r="C33">
        <v>21</v>
      </c>
      <c r="D33">
        <v>23.37</v>
      </c>
      <c r="E33">
        <v>178.47</v>
      </c>
      <c r="F33">
        <v>123.46</v>
      </c>
      <c r="G33" s="4">
        <f t="shared" si="0"/>
        <v>0.54960535518033782</v>
      </c>
    </row>
    <row r="34" spans="1:7" x14ac:dyDescent="0.35">
      <c r="A34" t="s">
        <v>44</v>
      </c>
      <c r="B34">
        <v>2018</v>
      </c>
      <c r="C34">
        <v>64</v>
      </c>
      <c r="D34">
        <v>23.32</v>
      </c>
      <c r="E34">
        <v>183.82</v>
      </c>
      <c r="F34">
        <v>127.73</v>
      </c>
      <c r="G34" s="4">
        <f t="shared" ref="G34:G61" si="1">((E34-D34)-(F34-D34))/(F34-D34)</f>
        <v>0.53720907959007758</v>
      </c>
    </row>
    <row r="35" spans="1:7" x14ac:dyDescent="0.35">
      <c r="A35" t="s">
        <v>45</v>
      </c>
      <c r="B35">
        <v>2018</v>
      </c>
      <c r="C35">
        <v>44</v>
      </c>
      <c r="D35">
        <v>24.11</v>
      </c>
      <c r="E35">
        <v>213.95</v>
      </c>
      <c r="F35">
        <v>153.12</v>
      </c>
      <c r="G35" s="4">
        <f t="shared" si="1"/>
        <v>0.47151383613673348</v>
      </c>
    </row>
    <row r="36" spans="1:7" x14ac:dyDescent="0.35">
      <c r="A36" t="s">
        <v>46</v>
      </c>
      <c r="B36">
        <v>2018</v>
      </c>
      <c r="C36">
        <v>45</v>
      </c>
      <c r="D36">
        <v>23.98</v>
      </c>
      <c r="E36">
        <v>185.87</v>
      </c>
      <c r="F36">
        <v>134.21</v>
      </c>
      <c r="G36" s="4">
        <f t="shared" si="1"/>
        <v>0.46865644561371683</v>
      </c>
    </row>
    <row r="37" spans="1:7" x14ac:dyDescent="0.35">
      <c r="A37" t="s">
        <v>47</v>
      </c>
      <c r="B37">
        <v>2018</v>
      </c>
      <c r="C37">
        <v>71</v>
      </c>
      <c r="D37">
        <v>24.67</v>
      </c>
      <c r="E37">
        <v>172.63</v>
      </c>
      <c r="F37">
        <v>121.73</v>
      </c>
      <c r="G37" s="4">
        <f t="shared" si="1"/>
        <v>0.52441788584380766</v>
      </c>
    </row>
    <row r="38" spans="1:7" x14ac:dyDescent="0.35">
      <c r="A38" t="s">
        <v>48</v>
      </c>
      <c r="B38">
        <v>2018</v>
      </c>
      <c r="C38">
        <v>26</v>
      </c>
      <c r="D38">
        <v>23.42</v>
      </c>
      <c r="E38">
        <v>183.6</v>
      </c>
      <c r="F38">
        <v>131.11000000000001</v>
      </c>
      <c r="G38" s="4">
        <f t="shared" si="1"/>
        <v>0.48741758751973246</v>
      </c>
    </row>
    <row r="39" spans="1:7" x14ac:dyDescent="0.35">
      <c r="A39" t="s">
        <v>49</v>
      </c>
      <c r="B39">
        <v>2018</v>
      </c>
      <c r="C39">
        <v>66</v>
      </c>
      <c r="D39">
        <v>23.52</v>
      </c>
      <c r="E39">
        <v>184.68</v>
      </c>
      <c r="F39">
        <v>128.30000000000001</v>
      </c>
      <c r="G39" s="4">
        <f t="shared" si="1"/>
        <v>0.53807978621874375</v>
      </c>
    </row>
    <row r="40" spans="1:7" x14ac:dyDescent="0.35">
      <c r="A40" t="s">
        <v>50</v>
      </c>
      <c r="B40">
        <v>2018</v>
      </c>
      <c r="C40">
        <v>27</v>
      </c>
      <c r="D40">
        <v>25.11</v>
      </c>
      <c r="E40">
        <v>193.36</v>
      </c>
      <c r="F40">
        <v>137.4</v>
      </c>
      <c r="G40" s="4">
        <f t="shared" si="1"/>
        <v>0.49835248018523459</v>
      </c>
    </row>
    <row r="41" spans="1:7" x14ac:dyDescent="0.35">
      <c r="A41" t="s">
        <v>51</v>
      </c>
      <c r="B41">
        <v>2018</v>
      </c>
      <c r="C41">
        <v>32</v>
      </c>
      <c r="D41">
        <v>22.97</v>
      </c>
      <c r="E41">
        <v>158.93</v>
      </c>
      <c r="F41">
        <v>110.77</v>
      </c>
      <c r="G41" s="4">
        <f t="shared" si="1"/>
        <v>0.54851936218678832</v>
      </c>
    </row>
    <row r="42" spans="1:7" x14ac:dyDescent="0.35">
      <c r="A42" t="s">
        <v>52</v>
      </c>
      <c r="B42">
        <v>2018</v>
      </c>
      <c r="C42">
        <v>64</v>
      </c>
      <c r="D42">
        <v>23.22</v>
      </c>
      <c r="E42">
        <v>174.81</v>
      </c>
      <c r="F42">
        <v>119.98</v>
      </c>
      <c r="G42" s="4">
        <f t="shared" si="1"/>
        <v>0.5666597767672592</v>
      </c>
    </row>
    <row r="43" spans="1:7" x14ac:dyDescent="0.35">
      <c r="A43" t="s">
        <v>53</v>
      </c>
      <c r="B43">
        <v>2018</v>
      </c>
      <c r="C43">
        <v>36</v>
      </c>
      <c r="D43">
        <v>23.84</v>
      </c>
      <c r="E43">
        <v>211.02</v>
      </c>
      <c r="F43">
        <v>149.72999999999999</v>
      </c>
      <c r="G43" s="4">
        <f t="shared" si="1"/>
        <v>0.48685360235125924</v>
      </c>
    </row>
    <row r="44" spans="1:7" x14ac:dyDescent="0.35">
      <c r="A44" t="s">
        <v>54</v>
      </c>
      <c r="B44">
        <v>2018</v>
      </c>
      <c r="C44">
        <v>56</v>
      </c>
      <c r="D44">
        <v>23.83</v>
      </c>
      <c r="E44">
        <v>202.5</v>
      </c>
      <c r="F44">
        <v>148.13999999999999</v>
      </c>
      <c r="G44" s="4">
        <f t="shared" si="1"/>
        <v>0.43729386211889659</v>
      </c>
    </row>
    <row r="45" spans="1:7" x14ac:dyDescent="0.35">
      <c r="A45" t="s">
        <v>55</v>
      </c>
      <c r="B45">
        <v>2018</v>
      </c>
      <c r="C45">
        <v>6</v>
      </c>
      <c r="D45">
        <v>23.03</v>
      </c>
      <c r="E45">
        <v>225.66</v>
      </c>
      <c r="F45">
        <v>146.43</v>
      </c>
      <c r="G45" s="4">
        <f t="shared" si="1"/>
        <v>0.6420583468395461</v>
      </c>
    </row>
    <row r="46" spans="1:7" x14ac:dyDescent="0.35">
      <c r="A46" t="s">
        <v>56</v>
      </c>
      <c r="B46">
        <v>2018</v>
      </c>
      <c r="C46">
        <v>51</v>
      </c>
      <c r="D46">
        <v>24.47</v>
      </c>
      <c r="E46">
        <v>189.15</v>
      </c>
      <c r="F46">
        <v>139.44999999999999</v>
      </c>
      <c r="G46" s="4">
        <f t="shared" si="1"/>
        <v>0.43224908679770413</v>
      </c>
    </row>
    <row r="47" spans="1:7" x14ac:dyDescent="0.35">
      <c r="A47" t="s">
        <v>57</v>
      </c>
      <c r="B47">
        <v>2018</v>
      </c>
      <c r="C47">
        <v>1</v>
      </c>
      <c r="D47">
        <v>24</v>
      </c>
      <c r="E47">
        <v>188.86</v>
      </c>
      <c r="F47">
        <v>132.32</v>
      </c>
      <c r="G47" s="4">
        <f t="shared" si="1"/>
        <v>0.5219719350073857</v>
      </c>
    </row>
    <row r="48" spans="1:7" x14ac:dyDescent="0.35">
      <c r="A48" t="s">
        <v>58</v>
      </c>
      <c r="B48">
        <v>2018</v>
      </c>
      <c r="C48">
        <v>59</v>
      </c>
      <c r="D48">
        <v>22.83</v>
      </c>
      <c r="E48">
        <v>167.57</v>
      </c>
      <c r="F48">
        <v>121.99</v>
      </c>
      <c r="G48" s="4">
        <f t="shared" si="1"/>
        <v>0.45966115369100458</v>
      </c>
    </row>
    <row r="49" spans="1:8" x14ac:dyDescent="0.35">
      <c r="A49" t="s">
        <v>59</v>
      </c>
      <c r="B49">
        <v>2018</v>
      </c>
      <c r="C49">
        <v>68</v>
      </c>
      <c r="D49">
        <v>24.21</v>
      </c>
      <c r="E49">
        <v>171.33</v>
      </c>
      <c r="F49">
        <v>126.25</v>
      </c>
      <c r="G49" s="4">
        <f t="shared" si="1"/>
        <v>0.44178753430027456</v>
      </c>
    </row>
    <row r="50" spans="1:8" x14ac:dyDescent="0.35">
      <c r="A50" t="s">
        <v>60</v>
      </c>
      <c r="B50">
        <v>2018</v>
      </c>
      <c r="C50">
        <v>58</v>
      </c>
      <c r="D50">
        <v>23.21</v>
      </c>
      <c r="E50">
        <v>198.1</v>
      </c>
      <c r="F50">
        <v>143.34</v>
      </c>
      <c r="G50" s="4">
        <f t="shared" si="1"/>
        <v>0.45583950720053268</v>
      </c>
    </row>
    <row r="51" spans="1:8" x14ac:dyDescent="0.35">
      <c r="A51" t="s">
        <v>61</v>
      </c>
      <c r="B51">
        <v>2018</v>
      </c>
      <c r="C51">
        <v>11</v>
      </c>
      <c r="D51">
        <v>23.61</v>
      </c>
      <c r="E51">
        <v>181.41</v>
      </c>
      <c r="F51">
        <v>130.18</v>
      </c>
      <c r="G51" s="4">
        <f t="shared" si="1"/>
        <v>0.48071689969034437</v>
      </c>
    </row>
    <row r="52" spans="1:8" x14ac:dyDescent="0.35">
      <c r="A52" t="s">
        <v>62</v>
      </c>
      <c r="B52">
        <v>2018</v>
      </c>
      <c r="C52">
        <v>49</v>
      </c>
      <c r="D52">
        <v>23.64</v>
      </c>
      <c r="E52">
        <v>192.64</v>
      </c>
      <c r="F52">
        <v>138.97</v>
      </c>
      <c r="G52" s="4">
        <f t="shared" si="1"/>
        <v>0.46536027052804996</v>
      </c>
    </row>
    <row r="53" spans="1:8" x14ac:dyDescent="0.35">
      <c r="A53" t="s">
        <v>63</v>
      </c>
      <c r="B53">
        <v>2018</v>
      </c>
      <c r="C53">
        <v>13</v>
      </c>
      <c r="D53">
        <v>24.09</v>
      </c>
      <c r="E53">
        <v>194.14</v>
      </c>
      <c r="F53">
        <v>140.09</v>
      </c>
      <c r="G53" s="4">
        <f t="shared" si="1"/>
        <v>0.46594827586206883</v>
      </c>
    </row>
    <row r="54" spans="1:8" x14ac:dyDescent="0.35">
      <c r="A54" t="s">
        <v>64</v>
      </c>
      <c r="B54">
        <v>2018</v>
      </c>
      <c r="C54">
        <v>47</v>
      </c>
      <c r="D54">
        <v>23.21</v>
      </c>
      <c r="E54">
        <v>159.61000000000001</v>
      </c>
      <c r="F54">
        <v>116.13</v>
      </c>
      <c r="G54" s="4">
        <f t="shared" si="1"/>
        <v>0.46792940163581603</v>
      </c>
    </row>
    <row r="55" spans="1:8" x14ac:dyDescent="0.35">
      <c r="A55" s="1" t="s">
        <v>65</v>
      </c>
      <c r="B55">
        <v>2018</v>
      </c>
      <c r="C55">
        <v>41</v>
      </c>
      <c r="D55">
        <v>24.17</v>
      </c>
      <c r="E55">
        <v>191.39</v>
      </c>
      <c r="F55">
        <v>131.08000000000001</v>
      </c>
      <c r="G55" s="4">
        <f t="shared" si="1"/>
        <v>0.56411935272659197</v>
      </c>
      <c r="H55" t="s">
        <v>5</v>
      </c>
    </row>
    <row r="56" spans="1:8" x14ac:dyDescent="0.35">
      <c r="A56" t="s">
        <v>66</v>
      </c>
      <c r="B56">
        <v>2018</v>
      </c>
      <c r="C56">
        <v>19</v>
      </c>
      <c r="D56">
        <v>22.71</v>
      </c>
      <c r="E56">
        <v>155.16999999999999</v>
      </c>
      <c r="F56">
        <v>106.53</v>
      </c>
      <c r="G56" s="4">
        <f t="shared" si="1"/>
        <v>0.58029109997613926</v>
      </c>
    </row>
    <row r="57" spans="1:8" x14ac:dyDescent="0.35">
      <c r="A57" t="s">
        <v>67</v>
      </c>
      <c r="B57">
        <v>2018</v>
      </c>
      <c r="C57">
        <v>8</v>
      </c>
      <c r="D57">
        <v>23.32</v>
      </c>
      <c r="E57">
        <v>138.36000000000001</v>
      </c>
      <c r="F57">
        <v>95.07</v>
      </c>
      <c r="G57" s="4">
        <f t="shared" si="1"/>
        <v>0.60334494773519187</v>
      </c>
    </row>
    <row r="58" spans="1:8" x14ac:dyDescent="0.35">
      <c r="A58" t="s">
        <v>68</v>
      </c>
      <c r="B58">
        <v>2018</v>
      </c>
      <c r="C58">
        <v>30</v>
      </c>
      <c r="D58">
        <v>23.25</v>
      </c>
      <c r="E58">
        <v>198.14</v>
      </c>
      <c r="F58">
        <v>144.16</v>
      </c>
      <c r="G58" s="4">
        <f t="shared" si="1"/>
        <v>0.44644777106939038</v>
      </c>
    </row>
    <row r="59" spans="1:8" x14ac:dyDescent="0.35">
      <c r="A59" t="s">
        <v>69</v>
      </c>
      <c r="B59">
        <v>2018</v>
      </c>
      <c r="C59">
        <v>20</v>
      </c>
      <c r="D59">
        <v>23.28</v>
      </c>
      <c r="E59">
        <v>193.49</v>
      </c>
      <c r="F59">
        <v>140.28</v>
      </c>
      <c r="G59" s="4">
        <f t="shared" si="1"/>
        <v>0.45478632478632486</v>
      </c>
    </row>
    <row r="60" spans="1:8" x14ac:dyDescent="0.35">
      <c r="A60" t="s">
        <v>70</v>
      </c>
      <c r="B60">
        <v>2018</v>
      </c>
      <c r="C60">
        <v>34</v>
      </c>
      <c r="D60">
        <v>23.11</v>
      </c>
      <c r="E60">
        <v>190.22</v>
      </c>
      <c r="F60">
        <v>133.34</v>
      </c>
      <c r="G60" s="4">
        <f t="shared" si="1"/>
        <v>0.51601197496144435</v>
      </c>
    </row>
    <row r="61" spans="1:8" x14ac:dyDescent="0.35">
      <c r="A61" t="s">
        <v>71</v>
      </c>
      <c r="B61">
        <v>2018</v>
      </c>
      <c r="C61">
        <v>24</v>
      </c>
      <c r="D61">
        <v>22.54</v>
      </c>
      <c r="E61">
        <v>129.88999999999999</v>
      </c>
      <c r="F61">
        <v>90.12</v>
      </c>
      <c r="G61" s="4">
        <f t="shared" si="1"/>
        <v>0.58848771825983981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1"/>
  <sheetViews>
    <sheetView workbookViewId="0">
      <selection activeCell="A2" sqref="A2"/>
    </sheetView>
  </sheetViews>
  <sheetFormatPr baseColWidth="10" defaultColWidth="8.7265625" defaultRowHeight="14.5" x14ac:dyDescent="0.35"/>
  <cols>
    <col min="1" max="1" width="21.7265625" bestFit="1" customWidth="1"/>
    <col min="7" max="7" width="12" style="4" bestFit="1" customWidth="1"/>
    <col min="8" max="8" width="111.6328125" bestFit="1" customWidth="1"/>
  </cols>
  <sheetData>
    <row r="1" spans="1:12" x14ac:dyDescent="0.35">
      <c r="A1" s="2" t="s">
        <v>11</v>
      </c>
      <c r="B1" s="2" t="s">
        <v>10</v>
      </c>
      <c r="C1" s="2" t="s">
        <v>190</v>
      </c>
      <c r="D1" s="3" t="s">
        <v>0</v>
      </c>
      <c r="E1" s="3" t="s">
        <v>1</v>
      </c>
      <c r="F1" s="3" t="s">
        <v>2</v>
      </c>
      <c r="G1" s="3" t="s">
        <v>4</v>
      </c>
      <c r="H1" s="5" t="s">
        <v>3</v>
      </c>
      <c r="J1" s="2"/>
      <c r="K1" s="2"/>
      <c r="L1" s="2"/>
    </row>
    <row r="2" spans="1:12" x14ac:dyDescent="0.35">
      <c r="A2" t="s">
        <v>72</v>
      </c>
      <c r="B2">
        <v>2018</v>
      </c>
      <c r="C2">
        <v>64</v>
      </c>
      <c r="D2">
        <v>23.07</v>
      </c>
      <c r="E2">
        <v>204.06</v>
      </c>
      <c r="F2">
        <v>153.18</v>
      </c>
      <c r="G2" s="4">
        <f t="shared" ref="G2:G33" si="0">((E2-D2)-(F2-D2))/(F2-D2)</f>
        <v>0.39105372377219266</v>
      </c>
      <c r="J2" s="4"/>
      <c r="K2" s="4"/>
      <c r="L2" s="4"/>
    </row>
    <row r="3" spans="1:12" x14ac:dyDescent="0.35">
      <c r="A3" t="s">
        <v>73</v>
      </c>
      <c r="B3">
        <v>2018</v>
      </c>
      <c r="C3">
        <v>60</v>
      </c>
      <c r="D3">
        <v>24.1</v>
      </c>
      <c r="E3">
        <v>205.28</v>
      </c>
      <c r="F3">
        <v>148.53</v>
      </c>
      <c r="G3" s="4">
        <f t="shared" si="0"/>
        <v>0.45607972353933934</v>
      </c>
    </row>
    <row r="4" spans="1:12" x14ac:dyDescent="0.35">
      <c r="A4" t="s">
        <v>74</v>
      </c>
      <c r="B4">
        <v>2018</v>
      </c>
      <c r="C4">
        <v>23</v>
      </c>
      <c r="D4">
        <v>23.53</v>
      </c>
      <c r="E4">
        <v>198.62</v>
      </c>
      <c r="F4">
        <v>144.13999999999999</v>
      </c>
      <c r="G4" s="4">
        <f t="shared" si="0"/>
        <v>0.45170383881933523</v>
      </c>
    </row>
    <row r="5" spans="1:12" x14ac:dyDescent="0.35">
      <c r="A5" t="s">
        <v>75</v>
      </c>
      <c r="B5">
        <v>2018</v>
      </c>
      <c r="C5">
        <v>34</v>
      </c>
      <c r="D5">
        <v>23.02</v>
      </c>
      <c r="E5">
        <v>229.88</v>
      </c>
      <c r="F5">
        <v>168.23</v>
      </c>
      <c r="G5" s="4">
        <f t="shared" si="0"/>
        <v>0.42455753735968604</v>
      </c>
    </row>
    <row r="6" spans="1:12" x14ac:dyDescent="0.35">
      <c r="A6" t="s">
        <v>76</v>
      </c>
      <c r="B6">
        <v>2018</v>
      </c>
      <c r="C6">
        <v>72</v>
      </c>
      <c r="D6">
        <v>23.56</v>
      </c>
      <c r="E6">
        <v>208.54</v>
      </c>
      <c r="F6">
        <v>153.86000000000001</v>
      </c>
      <c r="G6" s="4">
        <f t="shared" si="0"/>
        <v>0.41964696853415173</v>
      </c>
    </row>
    <row r="7" spans="1:12" x14ac:dyDescent="0.35">
      <c r="A7" t="s">
        <v>77</v>
      </c>
      <c r="B7">
        <v>2018</v>
      </c>
      <c r="C7">
        <v>48</v>
      </c>
      <c r="D7">
        <v>24.09</v>
      </c>
      <c r="E7">
        <v>198.28</v>
      </c>
      <c r="F7">
        <v>143.11000000000001</v>
      </c>
      <c r="G7" s="4">
        <f t="shared" si="0"/>
        <v>0.46353554024533677</v>
      </c>
    </row>
    <row r="8" spans="1:12" x14ac:dyDescent="0.35">
      <c r="A8" t="s">
        <v>78</v>
      </c>
      <c r="B8">
        <v>2018</v>
      </c>
      <c r="C8">
        <v>70</v>
      </c>
      <c r="D8">
        <v>23.18</v>
      </c>
      <c r="E8">
        <v>170.19</v>
      </c>
      <c r="F8">
        <v>124.76</v>
      </c>
      <c r="G8" s="4">
        <f t="shared" si="0"/>
        <v>0.44723370742272073</v>
      </c>
    </row>
    <row r="9" spans="1:12" x14ac:dyDescent="0.35">
      <c r="A9" t="s">
        <v>79</v>
      </c>
      <c r="B9">
        <v>2018</v>
      </c>
      <c r="C9">
        <v>62</v>
      </c>
      <c r="D9">
        <v>23.6</v>
      </c>
      <c r="E9">
        <v>199.75</v>
      </c>
      <c r="F9">
        <v>148.33000000000001</v>
      </c>
      <c r="G9" s="4">
        <f t="shared" si="0"/>
        <v>0.41225046099575063</v>
      </c>
    </row>
    <row r="10" spans="1:12" x14ac:dyDescent="0.35">
      <c r="A10" t="s">
        <v>80</v>
      </c>
      <c r="B10">
        <v>2018</v>
      </c>
      <c r="C10">
        <v>54</v>
      </c>
      <c r="D10">
        <v>22.88</v>
      </c>
      <c r="E10">
        <v>209.7</v>
      </c>
      <c r="F10">
        <v>152.41999999999999</v>
      </c>
      <c r="G10" s="4">
        <f t="shared" si="0"/>
        <v>0.44218002161494524</v>
      </c>
    </row>
    <row r="11" spans="1:12" x14ac:dyDescent="0.35">
      <c r="A11" t="s">
        <v>81</v>
      </c>
      <c r="B11">
        <v>2018</v>
      </c>
      <c r="C11">
        <v>40</v>
      </c>
      <c r="D11">
        <v>24.07</v>
      </c>
      <c r="E11">
        <v>149.99</v>
      </c>
      <c r="F11">
        <v>115.54</v>
      </c>
      <c r="G11" s="4">
        <f t="shared" si="0"/>
        <v>0.37662621624576381</v>
      </c>
    </row>
    <row r="12" spans="1:12" x14ac:dyDescent="0.35">
      <c r="A12" t="s">
        <v>82</v>
      </c>
      <c r="B12">
        <v>2018</v>
      </c>
      <c r="C12">
        <v>30</v>
      </c>
      <c r="D12">
        <v>23.03</v>
      </c>
      <c r="E12">
        <v>234.04</v>
      </c>
      <c r="F12">
        <v>174.73</v>
      </c>
      <c r="G12" s="4">
        <f t="shared" si="0"/>
        <v>0.39096901779828613</v>
      </c>
    </row>
    <row r="13" spans="1:12" x14ac:dyDescent="0.35">
      <c r="A13" t="s">
        <v>83</v>
      </c>
      <c r="B13">
        <v>2018</v>
      </c>
      <c r="C13">
        <v>25</v>
      </c>
      <c r="D13">
        <v>24.89</v>
      </c>
      <c r="E13">
        <v>225.71</v>
      </c>
      <c r="F13">
        <v>163.59</v>
      </c>
      <c r="G13" s="4">
        <f t="shared" si="0"/>
        <v>0.44787310742609954</v>
      </c>
    </row>
    <row r="14" spans="1:12" x14ac:dyDescent="0.35">
      <c r="A14" t="s">
        <v>84</v>
      </c>
      <c r="B14">
        <v>2018</v>
      </c>
      <c r="C14">
        <v>31</v>
      </c>
      <c r="D14">
        <v>27.83</v>
      </c>
      <c r="E14">
        <v>188.72</v>
      </c>
      <c r="F14">
        <v>142.72</v>
      </c>
      <c r="G14" s="4">
        <f t="shared" si="0"/>
        <v>0.40038297501958381</v>
      </c>
      <c r="H14" t="s">
        <v>7</v>
      </c>
    </row>
    <row r="15" spans="1:12" x14ac:dyDescent="0.35">
      <c r="A15" t="s">
        <v>85</v>
      </c>
      <c r="B15">
        <v>2018</v>
      </c>
      <c r="C15">
        <v>39</v>
      </c>
      <c r="D15">
        <v>23.24</v>
      </c>
      <c r="E15">
        <v>195.17</v>
      </c>
      <c r="F15">
        <v>142.6</v>
      </c>
      <c r="G15" s="4">
        <f t="shared" si="0"/>
        <v>0.44043230563002661</v>
      </c>
    </row>
    <row r="16" spans="1:12" x14ac:dyDescent="0.35">
      <c r="A16" t="s">
        <v>86</v>
      </c>
      <c r="B16">
        <v>2018</v>
      </c>
      <c r="C16">
        <v>69</v>
      </c>
      <c r="D16">
        <v>24.51</v>
      </c>
      <c r="E16">
        <v>174.13</v>
      </c>
      <c r="F16">
        <v>128.38</v>
      </c>
      <c r="G16" s="4">
        <f t="shared" si="0"/>
        <v>0.44045441417156078</v>
      </c>
    </row>
    <row r="17" spans="1:7" x14ac:dyDescent="0.35">
      <c r="A17" t="s">
        <v>87</v>
      </c>
      <c r="B17">
        <v>2018</v>
      </c>
      <c r="C17">
        <v>58</v>
      </c>
      <c r="D17">
        <v>23.16</v>
      </c>
      <c r="E17">
        <v>211.46</v>
      </c>
      <c r="F17">
        <v>157</v>
      </c>
      <c r="G17" s="4">
        <f t="shared" si="0"/>
        <v>0.40690376569037662</v>
      </c>
    </row>
    <row r="18" spans="1:7" x14ac:dyDescent="0.35">
      <c r="A18" t="s">
        <v>88</v>
      </c>
      <c r="B18">
        <v>2018</v>
      </c>
      <c r="C18">
        <v>33</v>
      </c>
      <c r="D18">
        <v>25.09</v>
      </c>
      <c r="E18">
        <v>205.22</v>
      </c>
      <c r="F18">
        <v>151.87</v>
      </c>
      <c r="G18" s="4">
        <f t="shared" si="0"/>
        <v>0.42080769837513798</v>
      </c>
    </row>
    <row r="19" spans="1:7" x14ac:dyDescent="0.35">
      <c r="A19" t="s">
        <v>89</v>
      </c>
      <c r="B19">
        <v>2018</v>
      </c>
      <c r="C19">
        <v>40</v>
      </c>
      <c r="D19">
        <v>23.95</v>
      </c>
      <c r="E19">
        <v>216.77</v>
      </c>
      <c r="F19">
        <v>159.4</v>
      </c>
      <c r="G19" s="4">
        <f t="shared" si="0"/>
        <v>0.42355112587670724</v>
      </c>
    </row>
    <row r="20" spans="1:7" x14ac:dyDescent="0.35">
      <c r="A20" t="s">
        <v>90</v>
      </c>
      <c r="B20">
        <v>2018</v>
      </c>
      <c r="C20">
        <v>33</v>
      </c>
      <c r="D20">
        <v>25.25</v>
      </c>
      <c r="E20">
        <v>210.4</v>
      </c>
      <c r="F20">
        <v>155.51</v>
      </c>
      <c r="G20" s="4">
        <f t="shared" si="0"/>
        <v>0.42138799324428083</v>
      </c>
    </row>
    <row r="21" spans="1:7" x14ac:dyDescent="0.35">
      <c r="A21" t="s">
        <v>91</v>
      </c>
      <c r="B21">
        <v>2018</v>
      </c>
      <c r="C21">
        <v>1</v>
      </c>
      <c r="D21">
        <v>23.96</v>
      </c>
      <c r="E21">
        <v>212.27</v>
      </c>
      <c r="F21">
        <v>159.38999999999999</v>
      </c>
      <c r="G21" s="4">
        <f t="shared" si="0"/>
        <v>0.39046001624455462</v>
      </c>
    </row>
    <row r="22" spans="1:7" x14ac:dyDescent="0.35">
      <c r="A22" t="s">
        <v>92</v>
      </c>
      <c r="B22">
        <v>2018</v>
      </c>
      <c r="C22">
        <v>61</v>
      </c>
      <c r="D22">
        <v>23.51</v>
      </c>
      <c r="E22">
        <v>214.48</v>
      </c>
      <c r="F22">
        <v>159.05000000000001</v>
      </c>
      <c r="G22" s="4">
        <f t="shared" si="0"/>
        <v>0.4089567655304705</v>
      </c>
    </row>
    <row r="23" spans="1:7" x14ac:dyDescent="0.35">
      <c r="A23" t="s">
        <v>93</v>
      </c>
      <c r="B23">
        <v>2018</v>
      </c>
      <c r="C23">
        <v>6</v>
      </c>
      <c r="D23">
        <v>22.89</v>
      </c>
      <c r="E23">
        <v>211.26</v>
      </c>
      <c r="F23">
        <v>153.09</v>
      </c>
      <c r="G23" s="4">
        <f t="shared" si="0"/>
        <v>0.44677419354838727</v>
      </c>
    </row>
    <row r="24" spans="1:7" x14ac:dyDescent="0.35">
      <c r="A24" t="s">
        <v>94</v>
      </c>
      <c r="B24">
        <v>2018</v>
      </c>
      <c r="C24">
        <v>26</v>
      </c>
      <c r="D24">
        <v>23.27</v>
      </c>
      <c r="E24">
        <v>205.45</v>
      </c>
      <c r="F24">
        <v>151.99</v>
      </c>
      <c r="G24" s="4">
        <f t="shared" si="0"/>
        <v>0.41532007458048464</v>
      </c>
    </row>
    <row r="25" spans="1:7" x14ac:dyDescent="0.35">
      <c r="A25" t="s">
        <v>95</v>
      </c>
      <c r="B25">
        <v>2018</v>
      </c>
      <c r="C25">
        <v>44</v>
      </c>
      <c r="D25">
        <v>23.89</v>
      </c>
      <c r="E25">
        <v>204.19</v>
      </c>
      <c r="F25">
        <v>153.82</v>
      </c>
      <c r="G25" s="4">
        <f t="shared" si="0"/>
        <v>0.38767028399907644</v>
      </c>
    </row>
    <row r="26" spans="1:7" x14ac:dyDescent="0.35">
      <c r="A26" t="s">
        <v>96</v>
      </c>
      <c r="B26">
        <v>2018</v>
      </c>
      <c r="C26">
        <v>21</v>
      </c>
      <c r="D26">
        <v>23.24</v>
      </c>
      <c r="E26">
        <v>213.47</v>
      </c>
      <c r="F26">
        <v>158.31</v>
      </c>
      <c r="G26" s="4">
        <f t="shared" si="0"/>
        <v>0.40838083956467014</v>
      </c>
    </row>
    <row r="27" spans="1:7" x14ac:dyDescent="0.35">
      <c r="A27" t="s">
        <v>97</v>
      </c>
      <c r="B27">
        <v>2018</v>
      </c>
      <c r="C27">
        <v>47</v>
      </c>
      <c r="D27">
        <v>23.09</v>
      </c>
      <c r="E27">
        <v>206.57</v>
      </c>
      <c r="F27">
        <v>153.97</v>
      </c>
      <c r="G27" s="4">
        <f t="shared" si="0"/>
        <v>0.40189486552567233</v>
      </c>
    </row>
    <row r="28" spans="1:7" x14ac:dyDescent="0.35">
      <c r="A28" t="s">
        <v>98</v>
      </c>
      <c r="B28">
        <v>2018</v>
      </c>
      <c r="C28">
        <v>17</v>
      </c>
      <c r="D28">
        <v>24.69</v>
      </c>
      <c r="E28">
        <v>199.58</v>
      </c>
      <c r="F28">
        <v>143.37</v>
      </c>
      <c r="G28" s="4">
        <f t="shared" si="0"/>
        <v>0.47362655881361648</v>
      </c>
    </row>
    <row r="29" spans="1:7" x14ac:dyDescent="0.35">
      <c r="A29" t="s">
        <v>99</v>
      </c>
      <c r="B29">
        <v>2018</v>
      </c>
      <c r="C29">
        <v>20</v>
      </c>
      <c r="D29">
        <v>23.17</v>
      </c>
      <c r="E29">
        <v>201.05</v>
      </c>
      <c r="F29">
        <v>145.76</v>
      </c>
      <c r="G29" s="4">
        <f t="shared" si="0"/>
        <v>0.45101558038991768</v>
      </c>
    </row>
    <row r="30" spans="1:7" x14ac:dyDescent="0.35">
      <c r="A30" t="s">
        <v>100</v>
      </c>
      <c r="B30">
        <v>2018</v>
      </c>
      <c r="C30">
        <v>41</v>
      </c>
      <c r="D30">
        <v>23.88</v>
      </c>
      <c r="E30">
        <v>194.25</v>
      </c>
      <c r="F30">
        <v>144</v>
      </c>
      <c r="G30" s="4">
        <f t="shared" si="0"/>
        <v>0.41833166833166829</v>
      </c>
    </row>
    <row r="31" spans="1:7" x14ac:dyDescent="0.35">
      <c r="A31" t="s">
        <v>101</v>
      </c>
      <c r="B31">
        <v>2018</v>
      </c>
      <c r="C31">
        <v>65</v>
      </c>
      <c r="D31">
        <v>23.21</v>
      </c>
      <c r="E31">
        <v>202.06</v>
      </c>
      <c r="F31">
        <v>147.51</v>
      </c>
      <c r="G31" s="4">
        <f t="shared" si="0"/>
        <v>0.43885760257441686</v>
      </c>
    </row>
    <row r="32" spans="1:7" x14ac:dyDescent="0.35">
      <c r="A32" t="s">
        <v>102</v>
      </c>
      <c r="B32">
        <v>2018</v>
      </c>
      <c r="C32">
        <v>19</v>
      </c>
      <c r="D32">
        <v>22.51</v>
      </c>
      <c r="E32">
        <v>205.93</v>
      </c>
      <c r="F32">
        <v>149.32</v>
      </c>
      <c r="G32" s="4">
        <f t="shared" si="0"/>
        <v>0.4464158977998583</v>
      </c>
    </row>
    <row r="33" spans="1:8" x14ac:dyDescent="0.35">
      <c r="A33" t="s">
        <v>103</v>
      </c>
      <c r="B33">
        <v>2018</v>
      </c>
      <c r="C33">
        <v>6</v>
      </c>
      <c r="D33">
        <v>22.85</v>
      </c>
      <c r="E33">
        <v>216.1</v>
      </c>
      <c r="F33">
        <v>158.33000000000001</v>
      </c>
      <c r="G33" s="4">
        <f t="shared" si="0"/>
        <v>0.42640980218482416</v>
      </c>
    </row>
    <row r="34" spans="1:8" x14ac:dyDescent="0.35">
      <c r="A34" t="s">
        <v>104</v>
      </c>
      <c r="B34">
        <v>2018</v>
      </c>
      <c r="C34">
        <v>5</v>
      </c>
      <c r="D34">
        <v>25.19</v>
      </c>
      <c r="E34">
        <v>164.06</v>
      </c>
      <c r="F34">
        <v>113.79</v>
      </c>
      <c r="G34" s="4">
        <f t="shared" ref="G34:G61" si="1">((E34-D34)-(F34-D34))/(F34-D34)</f>
        <v>0.56738148984198633</v>
      </c>
    </row>
    <row r="35" spans="1:8" x14ac:dyDescent="0.35">
      <c r="A35" t="s">
        <v>105</v>
      </c>
      <c r="B35">
        <v>2018</v>
      </c>
      <c r="C35">
        <v>9</v>
      </c>
      <c r="D35">
        <v>23.85</v>
      </c>
      <c r="E35">
        <v>217.36</v>
      </c>
      <c r="F35">
        <v>157.88999999999999</v>
      </c>
      <c r="G35" s="4">
        <f t="shared" si="1"/>
        <v>0.44367353028946604</v>
      </c>
    </row>
    <row r="36" spans="1:8" x14ac:dyDescent="0.35">
      <c r="A36" t="s">
        <v>106</v>
      </c>
      <c r="B36">
        <v>2018</v>
      </c>
      <c r="C36">
        <v>38</v>
      </c>
      <c r="D36">
        <v>24.1</v>
      </c>
      <c r="E36">
        <v>220.52</v>
      </c>
      <c r="F36">
        <v>164.78</v>
      </c>
      <c r="G36" s="4">
        <f t="shared" si="1"/>
        <v>0.39621836792721071</v>
      </c>
    </row>
    <row r="37" spans="1:8" x14ac:dyDescent="0.35">
      <c r="A37" t="s">
        <v>107</v>
      </c>
      <c r="B37">
        <v>2018</v>
      </c>
      <c r="C37">
        <v>31</v>
      </c>
      <c r="D37">
        <v>23.34</v>
      </c>
      <c r="E37">
        <v>157.54</v>
      </c>
      <c r="F37">
        <v>120.51</v>
      </c>
      <c r="G37" s="4">
        <f t="shared" si="1"/>
        <v>0.38108469692291846</v>
      </c>
    </row>
    <row r="38" spans="1:8" x14ac:dyDescent="0.35">
      <c r="A38" t="s">
        <v>108</v>
      </c>
      <c r="B38">
        <v>2018</v>
      </c>
      <c r="C38">
        <v>52</v>
      </c>
      <c r="D38">
        <v>22.94</v>
      </c>
      <c r="E38">
        <v>220.28</v>
      </c>
      <c r="F38">
        <v>160.74</v>
      </c>
      <c r="G38" s="4">
        <f t="shared" si="1"/>
        <v>0.43207547169811311</v>
      </c>
    </row>
    <row r="39" spans="1:8" x14ac:dyDescent="0.35">
      <c r="A39" t="s">
        <v>109</v>
      </c>
      <c r="B39">
        <v>2018</v>
      </c>
      <c r="C39">
        <v>2</v>
      </c>
      <c r="D39">
        <v>25.04</v>
      </c>
      <c r="E39">
        <v>216.56</v>
      </c>
      <c r="F39">
        <v>154.69</v>
      </c>
      <c r="G39" s="4">
        <f t="shared" si="1"/>
        <v>0.47720786733513304</v>
      </c>
    </row>
    <row r="40" spans="1:8" x14ac:dyDescent="0.35">
      <c r="A40" t="s">
        <v>110</v>
      </c>
      <c r="B40">
        <v>2018</v>
      </c>
      <c r="C40">
        <v>45</v>
      </c>
      <c r="D40">
        <v>23.92</v>
      </c>
      <c r="E40">
        <v>191.82</v>
      </c>
      <c r="F40">
        <v>137.30000000000001</v>
      </c>
      <c r="G40" s="4">
        <f t="shared" si="1"/>
        <v>0.48086082201446428</v>
      </c>
    </row>
    <row r="41" spans="1:8" x14ac:dyDescent="0.35">
      <c r="A41" t="s">
        <v>111</v>
      </c>
      <c r="B41">
        <v>2018</v>
      </c>
      <c r="C41">
        <v>18</v>
      </c>
      <c r="D41">
        <v>22.57</v>
      </c>
      <c r="E41">
        <v>191.21</v>
      </c>
      <c r="F41">
        <v>134.34</v>
      </c>
      <c r="G41" s="4">
        <f t="shared" si="1"/>
        <v>0.5088127404491366</v>
      </c>
    </row>
    <row r="42" spans="1:8" x14ac:dyDescent="0.35">
      <c r="A42" t="s">
        <v>112</v>
      </c>
      <c r="B42">
        <v>2018</v>
      </c>
      <c r="C42">
        <v>53</v>
      </c>
      <c r="D42">
        <v>23.05</v>
      </c>
      <c r="E42">
        <v>187.73</v>
      </c>
      <c r="F42">
        <v>125.48</v>
      </c>
      <c r="G42" s="4">
        <f t="shared" si="1"/>
        <v>0.60773210973347624</v>
      </c>
    </row>
    <row r="43" spans="1:8" x14ac:dyDescent="0.35">
      <c r="A43" t="s">
        <v>113</v>
      </c>
      <c r="B43">
        <v>2018</v>
      </c>
      <c r="C43">
        <v>48</v>
      </c>
      <c r="D43">
        <v>24.02</v>
      </c>
      <c r="E43">
        <v>228.31</v>
      </c>
      <c r="F43">
        <v>169.88</v>
      </c>
      <c r="G43" s="4">
        <f t="shared" si="1"/>
        <v>0.40058960647195951</v>
      </c>
    </row>
    <row r="44" spans="1:8" x14ac:dyDescent="0.35">
      <c r="A44" t="s">
        <v>114</v>
      </c>
      <c r="B44">
        <v>2018</v>
      </c>
      <c r="C44">
        <v>26</v>
      </c>
      <c r="D44">
        <v>27.49</v>
      </c>
      <c r="E44">
        <v>204.89</v>
      </c>
      <c r="F44">
        <v>157.01</v>
      </c>
      <c r="G44" s="4">
        <f t="shared" si="1"/>
        <v>0.36967263743051265</v>
      </c>
      <c r="H44" t="s">
        <v>9</v>
      </c>
    </row>
    <row r="45" spans="1:8" x14ac:dyDescent="0.35">
      <c r="A45" t="s">
        <v>115</v>
      </c>
      <c r="B45">
        <v>2018</v>
      </c>
      <c r="C45">
        <v>57</v>
      </c>
      <c r="D45">
        <v>23.31</v>
      </c>
      <c r="E45">
        <v>212.7</v>
      </c>
      <c r="F45">
        <v>154.93</v>
      </c>
      <c r="G45" s="4">
        <f t="shared" si="1"/>
        <v>0.43891505850174728</v>
      </c>
    </row>
    <row r="46" spans="1:8" x14ac:dyDescent="0.35">
      <c r="A46" t="s">
        <v>116</v>
      </c>
      <c r="B46">
        <v>2018</v>
      </c>
      <c r="C46">
        <v>52</v>
      </c>
      <c r="D46">
        <v>22.99</v>
      </c>
      <c r="E46">
        <v>198.34</v>
      </c>
      <c r="F46">
        <v>141.16999999999999</v>
      </c>
      <c r="G46" s="4">
        <f t="shared" si="1"/>
        <v>0.48375359620917252</v>
      </c>
    </row>
    <row r="47" spans="1:8" x14ac:dyDescent="0.35">
      <c r="A47" t="s">
        <v>117</v>
      </c>
      <c r="B47">
        <v>2018</v>
      </c>
      <c r="C47">
        <v>42</v>
      </c>
      <c r="D47">
        <v>25.16</v>
      </c>
      <c r="E47">
        <v>163.88</v>
      </c>
      <c r="F47">
        <v>119.01</v>
      </c>
      <c r="G47" s="4">
        <f t="shared" si="1"/>
        <v>0.47810335641981871</v>
      </c>
    </row>
    <row r="48" spans="1:8" x14ac:dyDescent="0.35">
      <c r="A48" t="s">
        <v>118</v>
      </c>
      <c r="B48">
        <v>2018</v>
      </c>
      <c r="C48">
        <v>47</v>
      </c>
      <c r="D48">
        <v>23.22</v>
      </c>
      <c r="E48">
        <v>187.67</v>
      </c>
      <c r="F48">
        <v>135.56</v>
      </c>
      <c r="G48" s="4">
        <f t="shared" si="1"/>
        <v>0.46385971158981648</v>
      </c>
    </row>
    <row r="49" spans="1:8" x14ac:dyDescent="0.35">
      <c r="A49" t="s">
        <v>119</v>
      </c>
      <c r="B49">
        <v>2018</v>
      </c>
      <c r="C49">
        <v>30</v>
      </c>
      <c r="D49">
        <v>27.83</v>
      </c>
      <c r="E49">
        <v>205.23</v>
      </c>
      <c r="F49">
        <v>149.19999999999999</v>
      </c>
      <c r="G49" s="4">
        <f t="shared" si="1"/>
        <v>0.46164620581692339</v>
      </c>
      <c r="H49" t="s">
        <v>6</v>
      </c>
    </row>
    <row r="50" spans="1:8" x14ac:dyDescent="0.35">
      <c r="A50" t="s">
        <v>120</v>
      </c>
      <c r="B50">
        <v>2018</v>
      </c>
      <c r="C50">
        <v>68</v>
      </c>
      <c r="D50">
        <v>24.06</v>
      </c>
      <c r="E50">
        <v>177.48</v>
      </c>
      <c r="F50">
        <v>123.01</v>
      </c>
      <c r="G50" s="4">
        <f t="shared" si="1"/>
        <v>0.55048004042445664</v>
      </c>
    </row>
    <row r="51" spans="1:8" x14ac:dyDescent="0.35">
      <c r="A51" t="s">
        <v>121</v>
      </c>
      <c r="B51">
        <v>2018</v>
      </c>
      <c r="C51">
        <v>27</v>
      </c>
      <c r="D51">
        <v>24.84</v>
      </c>
      <c r="E51">
        <v>197.25</v>
      </c>
      <c r="F51">
        <v>150</v>
      </c>
      <c r="G51" s="4">
        <f t="shared" si="1"/>
        <v>0.37751677852348997</v>
      </c>
    </row>
    <row r="52" spans="1:8" x14ac:dyDescent="0.35">
      <c r="A52" t="s">
        <v>122</v>
      </c>
      <c r="B52">
        <v>2018</v>
      </c>
      <c r="C52">
        <v>40</v>
      </c>
      <c r="D52">
        <v>23.96</v>
      </c>
      <c r="E52">
        <v>231.85</v>
      </c>
      <c r="F52">
        <v>171.13</v>
      </c>
      <c r="G52" s="4">
        <f t="shared" si="1"/>
        <v>0.41258408643065847</v>
      </c>
    </row>
    <row r="53" spans="1:8" x14ac:dyDescent="0.35">
      <c r="A53" t="s">
        <v>123</v>
      </c>
      <c r="B53">
        <v>2018</v>
      </c>
      <c r="C53">
        <v>56</v>
      </c>
      <c r="D53">
        <v>23.99</v>
      </c>
      <c r="E53">
        <v>201.74</v>
      </c>
      <c r="F53">
        <v>148.13999999999999</v>
      </c>
      <c r="G53" s="4">
        <f t="shared" si="1"/>
        <v>0.43173580346355223</v>
      </c>
    </row>
    <row r="54" spans="1:8" x14ac:dyDescent="0.35">
      <c r="A54" t="s">
        <v>124</v>
      </c>
      <c r="B54">
        <v>2018</v>
      </c>
      <c r="C54">
        <v>36</v>
      </c>
      <c r="D54">
        <v>24.02</v>
      </c>
      <c r="E54">
        <v>196.07</v>
      </c>
      <c r="F54">
        <v>140.78</v>
      </c>
      <c r="G54" s="4">
        <f t="shared" si="1"/>
        <v>0.4735354573484068</v>
      </c>
    </row>
    <row r="55" spans="1:8" x14ac:dyDescent="0.35">
      <c r="A55" t="s">
        <v>125</v>
      </c>
      <c r="B55">
        <v>2018</v>
      </c>
      <c r="C55">
        <v>41</v>
      </c>
      <c r="D55">
        <v>23.71</v>
      </c>
      <c r="E55">
        <v>205.13</v>
      </c>
      <c r="F55">
        <v>152.05000000000001</v>
      </c>
      <c r="G55" s="4">
        <f t="shared" si="1"/>
        <v>0.4135889044724948</v>
      </c>
    </row>
    <row r="56" spans="1:8" x14ac:dyDescent="0.35">
      <c r="A56" t="s">
        <v>126</v>
      </c>
      <c r="B56">
        <v>2018</v>
      </c>
      <c r="C56">
        <v>13</v>
      </c>
      <c r="D56">
        <v>24.07</v>
      </c>
      <c r="E56">
        <v>191.77</v>
      </c>
      <c r="F56">
        <v>138.88999999999999</v>
      </c>
      <c r="G56" s="4">
        <f t="shared" si="1"/>
        <v>0.46054694304128224</v>
      </c>
    </row>
    <row r="57" spans="1:8" x14ac:dyDescent="0.35">
      <c r="A57" t="s">
        <v>127</v>
      </c>
      <c r="B57">
        <v>2018</v>
      </c>
      <c r="C57">
        <v>51</v>
      </c>
      <c r="D57">
        <v>24.32</v>
      </c>
      <c r="E57">
        <v>199.39</v>
      </c>
      <c r="F57">
        <v>137.53</v>
      </c>
      <c r="G57" s="4">
        <f t="shared" si="1"/>
        <v>0.54641816093984619</v>
      </c>
    </row>
    <row r="58" spans="1:8" x14ac:dyDescent="0.35">
      <c r="A58" t="s">
        <v>128</v>
      </c>
      <c r="B58">
        <v>2018</v>
      </c>
      <c r="C58">
        <v>56</v>
      </c>
      <c r="D58">
        <v>23.84</v>
      </c>
      <c r="E58">
        <v>190.08</v>
      </c>
      <c r="F58">
        <v>132.65</v>
      </c>
      <c r="G58" s="4">
        <f t="shared" si="1"/>
        <v>0.52780075360720524</v>
      </c>
    </row>
    <row r="59" spans="1:8" x14ac:dyDescent="0.35">
      <c r="A59" t="s">
        <v>129</v>
      </c>
      <c r="B59">
        <v>2018</v>
      </c>
      <c r="C59">
        <v>27</v>
      </c>
      <c r="D59">
        <v>24.98</v>
      </c>
      <c r="E59">
        <v>222.69</v>
      </c>
      <c r="F59">
        <v>163.19</v>
      </c>
      <c r="G59" s="4">
        <f t="shared" si="1"/>
        <v>0.43050430504305043</v>
      </c>
    </row>
    <row r="60" spans="1:8" x14ac:dyDescent="0.35">
      <c r="A60" t="s">
        <v>130</v>
      </c>
      <c r="B60">
        <v>2018</v>
      </c>
      <c r="C60">
        <v>66</v>
      </c>
      <c r="D60">
        <v>23.36</v>
      </c>
      <c r="E60">
        <v>226.56</v>
      </c>
      <c r="F60">
        <v>170.44</v>
      </c>
      <c r="G60" s="4">
        <f t="shared" si="1"/>
        <v>0.38156105520805011</v>
      </c>
    </row>
    <row r="61" spans="1:8" x14ac:dyDescent="0.35">
      <c r="A61" t="s">
        <v>131</v>
      </c>
      <c r="B61">
        <v>2018</v>
      </c>
      <c r="C61">
        <v>67</v>
      </c>
      <c r="D61">
        <v>23.61</v>
      </c>
      <c r="E61">
        <v>214.87</v>
      </c>
      <c r="F61">
        <v>157.91</v>
      </c>
      <c r="G61" s="4">
        <f t="shared" si="1"/>
        <v>0.42412509307520457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1"/>
  <sheetViews>
    <sheetView tabSelected="1" workbookViewId="0">
      <selection activeCell="B1" sqref="B1:B1048576"/>
    </sheetView>
  </sheetViews>
  <sheetFormatPr baseColWidth="10" defaultColWidth="8.7265625" defaultRowHeight="14.5" x14ac:dyDescent="0.35"/>
  <cols>
    <col min="1" max="1" width="21.7265625" bestFit="1" customWidth="1"/>
    <col min="4" max="4" width="9.81640625" bestFit="1" customWidth="1"/>
    <col min="5" max="5" width="13.54296875" bestFit="1" customWidth="1"/>
    <col min="6" max="6" width="11.81640625" bestFit="1" customWidth="1"/>
    <col min="7" max="7" width="10.1796875" style="4" bestFit="1" customWidth="1"/>
  </cols>
  <sheetData>
    <row r="1" spans="1:12" x14ac:dyDescent="0.35">
      <c r="A1" s="2" t="s">
        <v>11</v>
      </c>
      <c r="B1" s="2" t="s">
        <v>10</v>
      </c>
      <c r="C1" s="2" t="s">
        <v>190</v>
      </c>
      <c r="D1" s="3" t="s">
        <v>0</v>
      </c>
      <c r="E1" s="3" t="s">
        <v>1</v>
      </c>
      <c r="F1" s="3" t="s">
        <v>2</v>
      </c>
      <c r="G1" s="3" t="s">
        <v>4</v>
      </c>
      <c r="H1" s="3" t="s">
        <v>3</v>
      </c>
    </row>
    <row r="2" spans="1:12" x14ac:dyDescent="0.35">
      <c r="A2" t="s">
        <v>132</v>
      </c>
      <c r="B2">
        <v>2018</v>
      </c>
      <c r="C2">
        <v>65</v>
      </c>
      <c r="D2">
        <v>23.15</v>
      </c>
      <c r="E2">
        <v>208.69</v>
      </c>
      <c r="F2">
        <v>159.13999999999999</v>
      </c>
      <c r="G2" s="4">
        <f>((E2-D2)-(F2-D2))/(F2-D2)</f>
        <v>0.36436502684020899</v>
      </c>
      <c r="J2" s="4"/>
      <c r="K2" s="4"/>
      <c r="L2" s="4"/>
    </row>
    <row r="3" spans="1:12" x14ac:dyDescent="0.35">
      <c r="A3" t="s">
        <v>133</v>
      </c>
      <c r="B3">
        <v>2018</v>
      </c>
      <c r="C3">
        <v>30</v>
      </c>
      <c r="D3">
        <v>23.18</v>
      </c>
      <c r="E3">
        <v>206.54</v>
      </c>
      <c r="F3">
        <v>148.16999999999999</v>
      </c>
      <c r="G3" s="4">
        <f t="shared" ref="G3:G61" si="0">((E3-D3)-(F3-D3))/(F3-D3)</f>
        <v>0.46699735978878321</v>
      </c>
    </row>
    <row r="4" spans="1:12" x14ac:dyDescent="0.35">
      <c r="A4" t="s">
        <v>134</v>
      </c>
      <c r="B4">
        <v>2018</v>
      </c>
      <c r="C4">
        <v>26</v>
      </c>
      <c r="D4">
        <v>27.52</v>
      </c>
      <c r="E4">
        <v>212.79</v>
      </c>
      <c r="F4">
        <v>160.03</v>
      </c>
      <c r="G4" s="4">
        <f t="shared" si="0"/>
        <v>0.39815862953739334</v>
      </c>
    </row>
    <row r="5" spans="1:12" x14ac:dyDescent="0.35">
      <c r="A5" t="s">
        <v>135</v>
      </c>
      <c r="B5">
        <v>2018</v>
      </c>
      <c r="C5">
        <v>11</v>
      </c>
      <c r="D5">
        <v>23.5</v>
      </c>
      <c r="E5">
        <v>192.27</v>
      </c>
      <c r="F5">
        <v>151.47</v>
      </c>
      <c r="G5" s="4">
        <f t="shared" si="0"/>
        <v>0.31882472454481531</v>
      </c>
    </row>
    <row r="6" spans="1:12" x14ac:dyDescent="0.35">
      <c r="A6" t="s">
        <v>136</v>
      </c>
      <c r="B6">
        <v>2018</v>
      </c>
      <c r="C6">
        <v>1</v>
      </c>
      <c r="D6">
        <v>24.03</v>
      </c>
      <c r="E6">
        <v>218.5</v>
      </c>
      <c r="F6">
        <v>166.81</v>
      </c>
      <c r="G6" s="4">
        <f t="shared" si="0"/>
        <v>0.36202549376663395</v>
      </c>
    </row>
    <row r="7" spans="1:12" x14ac:dyDescent="0.35">
      <c r="A7" t="s">
        <v>137</v>
      </c>
      <c r="B7">
        <v>2018</v>
      </c>
      <c r="C7">
        <v>64</v>
      </c>
      <c r="D7">
        <v>23.09</v>
      </c>
      <c r="E7">
        <v>211.64</v>
      </c>
      <c r="F7">
        <v>159.38</v>
      </c>
      <c r="G7" s="4">
        <f t="shared" si="0"/>
        <v>0.38344706141316304</v>
      </c>
    </row>
    <row r="8" spans="1:12" x14ac:dyDescent="0.35">
      <c r="A8" t="s">
        <v>138</v>
      </c>
      <c r="B8">
        <v>2018</v>
      </c>
      <c r="C8">
        <v>25</v>
      </c>
      <c r="D8">
        <v>24.95</v>
      </c>
      <c r="E8">
        <v>164.19</v>
      </c>
      <c r="F8">
        <v>124.45</v>
      </c>
      <c r="G8" s="4">
        <f t="shared" si="0"/>
        <v>0.39939698492462322</v>
      </c>
    </row>
    <row r="9" spans="1:12" x14ac:dyDescent="0.35">
      <c r="A9" t="s">
        <v>139</v>
      </c>
      <c r="B9">
        <v>2018</v>
      </c>
      <c r="C9">
        <v>11</v>
      </c>
      <c r="D9">
        <v>23.5</v>
      </c>
      <c r="E9">
        <v>213.33</v>
      </c>
      <c r="F9">
        <v>163.99</v>
      </c>
      <c r="G9" s="4">
        <f t="shared" si="0"/>
        <v>0.35119937362089826</v>
      </c>
    </row>
    <row r="10" spans="1:12" x14ac:dyDescent="0.35">
      <c r="A10" t="s">
        <v>140</v>
      </c>
      <c r="B10">
        <v>2018</v>
      </c>
      <c r="C10">
        <v>9</v>
      </c>
      <c r="D10">
        <v>23.81</v>
      </c>
      <c r="E10">
        <v>156.52000000000001</v>
      </c>
      <c r="F10">
        <v>121.15</v>
      </c>
      <c r="G10" s="4">
        <f t="shared" si="0"/>
        <v>0.36336552290938978</v>
      </c>
    </row>
    <row r="11" spans="1:12" x14ac:dyDescent="0.35">
      <c r="A11" t="s">
        <v>141</v>
      </c>
      <c r="B11">
        <v>2018</v>
      </c>
      <c r="C11">
        <v>53</v>
      </c>
      <c r="D11">
        <v>22.87</v>
      </c>
      <c r="E11">
        <v>226.91</v>
      </c>
      <c r="F11">
        <v>172.77</v>
      </c>
      <c r="G11" s="4">
        <f t="shared" si="0"/>
        <v>0.36117411607738481</v>
      </c>
    </row>
    <row r="12" spans="1:12" x14ac:dyDescent="0.35">
      <c r="A12" t="s">
        <v>142</v>
      </c>
      <c r="B12">
        <v>2018</v>
      </c>
      <c r="C12">
        <v>39</v>
      </c>
      <c r="D12">
        <v>23.23</v>
      </c>
      <c r="E12">
        <v>187.47</v>
      </c>
      <c r="F12">
        <v>145.97999999999999</v>
      </c>
      <c r="G12" s="4">
        <f t="shared" si="0"/>
        <v>0.33800407331975585</v>
      </c>
    </row>
    <row r="13" spans="1:12" x14ac:dyDescent="0.35">
      <c r="A13" t="s">
        <v>143</v>
      </c>
      <c r="B13">
        <v>2018</v>
      </c>
      <c r="C13">
        <v>48</v>
      </c>
      <c r="D13">
        <v>24.12</v>
      </c>
      <c r="E13">
        <v>167.25</v>
      </c>
      <c r="F13">
        <v>124.89</v>
      </c>
      <c r="G13" s="4">
        <f t="shared" si="0"/>
        <v>0.4203632033343257</v>
      </c>
    </row>
    <row r="14" spans="1:12" x14ac:dyDescent="0.35">
      <c r="A14" t="s">
        <v>144</v>
      </c>
      <c r="B14">
        <v>2018</v>
      </c>
      <c r="C14">
        <v>23</v>
      </c>
      <c r="D14">
        <v>23.53</v>
      </c>
      <c r="E14">
        <v>225.38</v>
      </c>
      <c r="F14">
        <v>174.2</v>
      </c>
      <c r="G14" s="4">
        <f t="shared" si="0"/>
        <v>0.33968275038162882</v>
      </c>
    </row>
    <row r="15" spans="1:12" x14ac:dyDescent="0.35">
      <c r="A15" t="s">
        <v>145</v>
      </c>
      <c r="B15">
        <v>2018</v>
      </c>
      <c r="C15">
        <v>51</v>
      </c>
      <c r="D15">
        <v>24.22</v>
      </c>
      <c r="E15">
        <v>216.46</v>
      </c>
      <c r="F15">
        <v>167.75</v>
      </c>
      <c r="G15" s="4">
        <f t="shared" si="0"/>
        <v>0.33937155995262319</v>
      </c>
    </row>
    <row r="16" spans="1:12" x14ac:dyDescent="0.35">
      <c r="A16" t="s">
        <v>146</v>
      </c>
      <c r="B16">
        <v>2018</v>
      </c>
      <c r="C16">
        <v>53</v>
      </c>
      <c r="D16">
        <v>22.92</v>
      </c>
      <c r="E16">
        <v>226.6</v>
      </c>
      <c r="F16">
        <v>174.71</v>
      </c>
      <c r="G16" s="4">
        <f t="shared" si="0"/>
        <v>0.34185387706700032</v>
      </c>
    </row>
    <row r="17" spans="1:8" x14ac:dyDescent="0.35">
      <c r="A17" t="s">
        <v>147</v>
      </c>
      <c r="B17">
        <v>2018</v>
      </c>
      <c r="C17">
        <v>11</v>
      </c>
      <c r="D17">
        <v>23.64</v>
      </c>
      <c r="E17">
        <v>177.9</v>
      </c>
      <c r="F17">
        <v>139.72999999999999</v>
      </c>
      <c r="G17" s="4">
        <f t="shared" si="0"/>
        <v>0.32879662330950127</v>
      </c>
    </row>
    <row r="18" spans="1:8" x14ac:dyDescent="0.35">
      <c r="A18" t="s">
        <v>148</v>
      </c>
      <c r="B18">
        <v>2018</v>
      </c>
      <c r="C18">
        <v>66</v>
      </c>
      <c r="D18">
        <v>23.31</v>
      </c>
      <c r="E18">
        <v>225.18</v>
      </c>
      <c r="F18">
        <v>178.58</v>
      </c>
      <c r="G18" s="4">
        <f t="shared" si="0"/>
        <v>0.30012236748889026</v>
      </c>
    </row>
    <row r="19" spans="1:8" x14ac:dyDescent="0.35">
      <c r="A19" s="1"/>
      <c r="B19">
        <v>2018</v>
      </c>
      <c r="C19" s="1"/>
      <c r="D19" s="1"/>
      <c r="E19" s="1"/>
      <c r="F19" s="1"/>
      <c r="H19" t="s">
        <v>8</v>
      </c>
    </row>
    <row r="20" spans="1:8" x14ac:dyDescent="0.35">
      <c r="A20" t="s">
        <v>149</v>
      </c>
      <c r="B20">
        <v>2018</v>
      </c>
      <c r="C20">
        <v>31</v>
      </c>
      <c r="D20">
        <v>23.33</v>
      </c>
      <c r="E20">
        <v>211.68</v>
      </c>
      <c r="F20">
        <v>159.65</v>
      </c>
      <c r="G20" s="4">
        <f t="shared" si="0"/>
        <v>0.38167546948356829</v>
      </c>
    </row>
    <row r="21" spans="1:8" x14ac:dyDescent="0.35">
      <c r="A21" t="s">
        <v>150</v>
      </c>
      <c r="B21">
        <v>2018</v>
      </c>
      <c r="C21">
        <v>12</v>
      </c>
      <c r="D21">
        <v>24.8</v>
      </c>
      <c r="E21">
        <v>200.4</v>
      </c>
      <c r="F21">
        <v>152.22</v>
      </c>
      <c r="G21" s="4">
        <f t="shared" si="0"/>
        <v>0.37811960445769888</v>
      </c>
    </row>
    <row r="22" spans="1:8" x14ac:dyDescent="0.35">
      <c r="A22" t="s">
        <v>151</v>
      </c>
      <c r="B22">
        <v>2018</v>
      </c>
      <c r="C22">
        <v>62</v>
      </c>
      <c r="D22">
        <v>23.75</v>
      </c>
      <c r="E22">
        <v>201.74</v>
      </c>
      <c r="F22">
        <v>154.82</v>
      </c>
      <c r="G22" s="4">
        <f t="shared" si="0"/>
        <v>0.35797665369649817</v>
      </c>
    </row>
    <row r="23" spans="1:8" x14ac:dyDescent="0.35">
      <c r="A23" t="s">
        <v>152</v>
      </c>
      <c r="B23">
        <v>2018</v>
      </c>
      <c r="C23">
        <v>20</v>
      </c>
      <c r="D23">
        <v>23.11</v>
      </c>
      <c r="E23">
        <v>222.53</v>
      </c>
      <c r="F23">
        <v>171.09</v>
      </c>
      <c r="G23" s="4">
        <f t="shared" si="0"/>
        <v>0.34761454250574397</v>
      </c>
    </row>
    <row r="24" spans="1:8" x14ac:dyDescent="0.35">
      <c r="A24" t="s">
        <v>153</v>
      </c>
      <c r="B24">
        <v>2018</v>
      </c>
      <c r="C24">
        <v>46</v>
      </c>
      <c r="D24">
        <v>23.63</v>
      </c>
      <c r="E24">
        <v>217.77</v>
      </c>
      <c r="F24">
        <v>170.91</v>
      </c>
      <c r="G24" s="4">
        <f t="shared" si="0"/>
        <v>0.31816947311243898</v>
      </c>
    </row>
    <row r="25" spans="1:8" x14ac:dyDescent="0.35">
      <c r="A25" t="s">
        <v>154</v>
      </c>
      <c r="B25">
        <v>2018</v>
      </c>
      <c r="C25">
        <v>60</v>
      </c>
      <c r="D25">
        <v>23.92</v>
      </c>
      <c r="E25">
        <v>208.81</v>
      </c>
      <c r="F25">
        <v>158.29</v>
      </c>
      <c r="G25" s="4">
        <f t="shared" si="0"/>
        <v>0.37597678053136846</v>
      </c>
    </row>
    <row r="26" spans="1:8" x14ac:dyDescent="0.35">
      <c r="A26" t="s">
        <v>155</v>
      </c>
      <c r="B26">
        <v>2018</v>
      </c>
      <c r="C26">
        <v>70</v>
      </c>
      <c r="D26">
        <v>27.6</v>
      </c>
      <c r="E26">
        <v>152.68</v>
      </c>
      <c r="F26">
        <v>122.02</v>
      </c>
      <c r="G26" s="4">
        <f t="shared" si="0"/>
        <v>0.32471933912306744</v>
      </c>
    </row>
    <row r="27" spans="1:8" x14ac:dyDescent="0.35">
      <c r="A27" t="s">
        <v>156</v>
      </c>
      <c r="B27">
        <v>2018</v>
      </c>
      <c r="C27">
        <v>53</v>
      </c>
      <c r="D27">
        <v>22.89</v>
      </c>
      <c r="E27">
        <v>206.18</v>
      </c>
      <c r="F27">
        <v>159.30000000000001</v>
      </c>
      <c r="G27" s="4">
        <f t="shared" si="0"/>
        <v>0.34366981892823095</v>
      </c>
    </row>
    <row r="28" spans="1:8" x14ac:dyDescent="0.35">
      <c r="A28" t="s">
        <v>157</v>
      </c>
      <c r="B28">
        <v>2018</v>
      </c>
      <c r="C28">
        <v>39</v>
      </c>
      <c r="D28">
        <v>23.21</v>
      </c>
      <c r="E28">
        <v>216.78</v>
      </c>
      <c r="F28">
        <v>169.72</v>
      </c>
      <c r="G28" s="4">
        <f t="shared" si="0"/>
        <v>0.32120674356699203</v>
      </c>
    </row>
    <row r="29" spans="1:8" x14ac:dyDescent="0.35">
      <c r="A29" t="s">
        <v>158</v>
      </c>
      <c r="B29">
        <v>2018</v>
      </c>
      <c r="C29">
        <v>1</v>
      </c>
      <c r="D29">
        <v>24.02</v>
      </c>
      <c r="E29">
        <v>249.23</v>
      </c>
      <c r="F29">
        <v>195.61</v>
      </c>
      <c r="G29" s="4">
        <f t="shared" si="0"/>
        <v>0.31248907278978949</v>
      </c>
    </row>
    <row r="30" spans="1:8" x14ac:dyDescent="0.35">
      <c r="A30" t="s">
        <v>159</v>
      </c>
      <c r="B30">
        <v>2018</v>
      </c>
      <c r="C30">
        <v>67</v>
      </c>
      <c r="D30">
        <v>23.67</v>
      </c>
      <c r="E30">
        <v>226.02</v>
      </c>
      <c r="F30">
        <v>180.37</v>
      </c>
      <c r="G30" s="4">
        <f t="shared" si="0"/>
        <v>0.29132099553286561</v>
      </c>
    </row>
    <row r="31" spans="1:8" x14ac:dyDescent="0.35">
      <c r="A31" t="s">
        <v>160</v>
      </c>
      <c r="B31">
        <v>2018</v>
      </c>
      <c r="C31">
        <v>36</v>
      </c>
      <c r="D31">
        <v>23.84</v>
      </c>
      <c r="E31">
        <v>224.88</v>
      </c>
      <c r="F31">
        <v>175.4</v>
      </c>
      <c r="G31" s="4">
        <f t="shared" si="0"/>
        <v>0.32647136447611502</v>
      </c>
    </row>
    <row r="32" spans="1:8" x14ac:dyDescent="0.35">
      <c r="A32" t="s">
        <v>161</v>
      </c>
      <c r="B32">
        <v>2018</v>
      </c>
      <c r="C32">
        <v>6</v>
      </c>
      <c r="D32">
        <v>22.84</v>
      </c>
      <c r="E32">
        <v>210.48</v>
      </c>
      <c r="F32">
        <v>161.94999999999999</v>
      </c>
      <c r="G32" s="4">
        <f t="shared" si="0"/>
        <v>0.34886061390266698</v>
      </c>
    </row>
    <row r="33" spans="1:8" x14ac:dyDescent="0.35">
      <c r="A33" t="s">
        <v>162</v>
      </c>
      <c r="B33">
        <v>2018</v>
      </c>
      <c r="C33">
        <v>54</v>
      </c>
      <c r="D33">
        <v>22.71</v>
      </c>
      <c r="E33">
        <v>213.13</v>
      </c>
      <c r="F33">
        <v>164.8</v>
      </c>
      <c r="G33" s="4">
        <f t="shared" si="0"/>
        <v>0.34013653318319365</v>
      </c>
    </row>
    <row r="34" spans="1:8" x14ac:dyDescent="0.35">
      <c r="A34" t="s">
        <v>163</v>
      </c>
      <c r="B34">
        <v>2018</v>
      </c>
      <c r="C34">
        <v>25</v>
      </c>
      <c r="D34">
        <v>24.87</v>
      </c>
      <c r="E34">
        <v>225.89</v>
      </c>
      <c r="F34">
        <v>177.89</v>
      </c>
      <c r="G34" s="4">
        <f t="shared" si="0"/>
        <v>0.31368448568814539</v>
      </c>
    </row>
    <row r="35" spans="1:8" x14ac:dyDescent="0.35">
      <c r="A35" t="s">
        <v>164</v>
      </c>
      <c r="B35">
        <v>2018</v>
      </c>
      <c r="C35">
        <v>37</v>
      </c>
      <c r="D35">
        <v>23.62</v>
      </c>
      <c r="E35">
        <v>206.73</v>
      </c>
      <c r="F35">
        <v>162.4</v>
      </c>
      <c r="G35" s="4">
        <f t="shared" si="0"/>
        <v>0.31942643032137186</v>
      </c>
    </row>
    <row r="36" spans="1:8" x14ac:dyDescent="0.35">
      <c r="A36" t="s">
        <v>165</v>
      </c>
      <c r="B36">
        <v>2018</v>
      </c>
      <c r="C36">
        <v>43</v>
      </c>
      <c r="D36">
        <v>24.46</v>
      </c>
      <c r="E36">
        <v>162.63</v>
      </c>
      <c r="F36">
        <v>127.22</v>
      </c>
      <c r="G36" s="4">
        <f t="shared" si="0"/>
        <v>0.3445893343713507</v>
      </c>
    </row>
    <row r="37" spans="1:8" x14ac:dyDescent="0.35">
      <c r="A37" t="s">
        <v>166</v>
      </c>
      <c r="B37">
        <v>2018</v>
      </c>
      <c r="C37">
        <v>6</v>
      </c>
      <c r="D37">
        <v>22.94</v>
      </c>
      <c r="E37">
        <v>189.25</v>
      </c>
      <c r="F37">
        <v>146.15</v>
      </c>
      <c r="G37" s="4">
        <f t="shared" si="0"/>
        <v>0.34980926872818757</v>
      </c>
    </row>
    <row r="38" spans="1:8" x14ac:dyDescent="0.35">
      <c r="A38" t="s">
        <v>167</v>
      </c>
      <c r="B38">
        <v>2018</v>
      </c>
      <c r="C38">
        <v>61</v>
      </c>
      <c r="D38">
        <v>23.51</v>
      </c>
      <c r="E38">
        <v>199.23</v>
      </c>
      <c r="F38">
        <v>154.56</v>
      </c>
      <c r="G38" s="4">
        <f t="shared" si="0"/>
        <v>0.34086226631056837</v>
      </c>
    </row>
    <row r="39" spans="1:8" x14ac:dyDescent="0.35">
      <c r="A39" t="s">
        <v>168</v>
      </c>
      <c r="B39">
        <v>2018</v>
      </c>
      <c r="C39">
        <v>46</v>
      </c>
      <c r="D39">
        <v>23.61</v>
      </c>
      <c r="E39">
        <v>147.27000000000001</v>
      </c>
      <c r="F39">
        <v>114.96</v>
      </c>
      <c r="G39" s="4">
        <f t="shared" si="0"/>
        <v>0.3536945812807884</v>
      </c>
    </row>
    <row r="40" spans="1:8" x14ac:dyDescent="0.35">
      <c r="A40" t="s">
        <v>169</v>
      </c>
      <c r="B40">
        <v>2018</v>
      </c>
      <c r="C40">
        <v>2</v>
      </c>
      <c r="D40">
        <v>25</v>
      </c>
      <c r="E40">
        <v>222.11</v>
      </c>
      <c r="F40">
        <v>172.47</v>
      </c>
      <c r="G40" s="4">
        <f t="shared" si="0"/>
        <v>0.33661083610225817</v>
      </c>
    </row>
    <row r="41" spans="1:8" x14ac:dyDescent="0.35">
      <c r="A41" t="s">
        <v>170</v>
      </c>
      <c r="B41">
        <v>2018</v>
      </c>
      <c r="C41">
        <v>48</v>
      </c>
      <c r="D41">
        <v>24.01</v>
      </c>
      <c r="E41">
        <v>219.91</v>
      </c>
      <c r="F41">
        <v>169.18</v>
      </c>
      <c r="G41" s="4">
        <f t="shared" si="0"/>
        <v>0.34945236619136172</v>
      </c>
    </row>
    <row r="42" spans="1:8" x14ac:dyDescent="0.35">
      <c r="A42" t="s">
        <v>171</v>
      </c>
      <c r="B42">
        <v>2018</v>
      </c>
      <c r="C42">
        <v>24</v>
      </c>
      <c r="D42">
        <v>27.37</v>
      </c>
      <c r="E42">
        <v>204.87</v>
      </c>
      <c r="F42">
        <v>161.35</v>
      </c>
      <c r="G42" s="4">
        <f t="shared" si="0"/>
        <v>0.32482460068666974</v>
      </c>
    </row>
    <row r="43" spans="1:8" x14ac:dyDescent="0.35">
      <c r="A43" t="s">
        <v>172</v>
      </c>
      <c r="B43">
        <v>2018</v>
      </c>
      <c r="C43">
        <v>12</v>
      </c>
      <c r="D43">
        <v>24.8</v>
      </c>
      <c r="E43">
        <v>228.27</v>
      </c>
      <c r="F43">
        <v>181.46</v>
      </c>
      <c r="G43" s="4">
        <f t="shared" si="0"/>
        <v>0.29879994893399719</v>
      </c>
    </row>
    <row r="44" spans="1:8" x14ac:dyDescent="0.35">
      <c r="A44" t="s">
        <v>173</v>
      </c>
      <c r="B44">
        <v>2018</v>
      </c>
      <c r="C44">
        <v>63</v>
      </c>
      <c r="D44">
        <v>23.42</v>
      </c>
      <c r="E44">
        <v>159.46</v>
      </c>
      <c r="F44">
        <v>125.57</v>
      </c>
      <c r="G44" s="4">
        <f t="shared" si="0"/>
        <v>0.33176700930004926</v>
      </c>
    </row>
    <row r="45" spans="1:8" x14ac:dyDescent="0.35">
      <c r="A45" s="1"/>
      <c r="B45">
        <v>2018</v>
      </c>
      <c r="C45" s="1"/>
      <c r="D45" s="1"/>
      <c r="E45" s="1"/>
      <c r="F45" s="1"/>
      <c r="H45" t="s">
        <v>8</v>
      </c>
    </row>
    <row r="46" spans="1:8" x14ac:dyDescent="0.35">
      <c r="A46" t="s">
        <v>174</v>
      </c>
      <c r="B46">
        <v>2018</v>
      </c>
      <c r="C46">
        <v>54</v>
      </c>
      <c r="D46">
        <v>22.73</v>
      </c>
      <c r="E46">
        <v>231.13</v>
      </c>
      <c r="F46">
        <v>180.68</v>
      </c>
      <c r="G46" s="4">
        <f t="shared" si="0"/>
        <v>0.31940487496043041</v>
      </c>
    </row>
    <row r="47" spans="1:8" x14ac:dyDescent="0.35">
      <c r="A47" t="s">
        <v>175</v>
      </c>
      <c r="B47">
        <v>2018</v>
      </c>
      <c r="C47">
        <v>45</v>
      </c>
      <c r="D47">
        <v>23.81</v>
      </c>
      <c r="E47">
        <v>208.7</v>
      </c>
      <c r="F47">
        <v>163.5</v>
      </c>
      <c r="G47" s="4">
        <f t="shared" si="0"/>
        <v>0.32357362731763184</v>
      </c>
    </row>
    <row r="48" spans="1:8" x14ac:dyDescent="0.35">
      <c r="A48" t="s">
        <v>176</v>
      </c>
      <c r="B48">
        <v>2018</v>
      </c>
      <c r="C48">
        <v>57</v>
      </c>
      <c r="D48">
        <v>23.38</v>
      </c>
      <c r="E48">
        <v>186.22</v>
      </c>
      <c r="F48">
        <v>141.99</v>
      </c>
      <c r="G48" s="4">
        <f t="shared" si="0"/>
        <v>0.37290279065846038</v>
      </c>
    </row>
    <row r="49" spans="1:7" x14ac:dyDescent="0.35">
      <c r="A49" t="s">
        <v>177</v>
      </c>
      <c r="B49">
        <v>2018</v>
      </c>
      <c r="C49">
        <v>47</v>
      </c>
      <c r="D49">
        <v>23.23</v>
      </c>
      <c r="E49">
        <v>164.6</v>
      </c>
      <c r="F49">
        <v>128.32</v>
      </c>
      <c r="G49" s="4">
        <f t="shared" si="0"/>
        <v>0.34522789989532798</v>
      </c>
    </row>
    <row r="50" spans="1:7" x14ac:dyDescent="0.35">
      <c r="A50" t="s">
        <v>178</v>
      </c>
      <c r="B50">
        <v>2018</v>
      </c>
      <c r="C50">
        <v>46</v>
      </c>
      <c r="D50">
        <v>23.84</v>
      </c>
      <c r="E50">
        <v>168.61</v>
      </c>
      <c r="F50">
        <v>132.57</v>
      </c>
      <c r="G50" s="4">
        <f t="shared" si="0"/>
        <v>0.33146325761059525</v>
      </c>
    </row>
    <row r="51" spans="1:7" x14ac:dyDescent="0.35">
      <c r="A51" t="s">
        <v>179</v>
      </c>
      <c r="B51">
        <v>2018</v>
      </c>
      <c r="C51">
        <v>8</v>
      </c>
      <c r="D51">
        <v>23.15</v>
      </c>
      <c r="E51">
        <v>218.07</v>
      </c>
      <c r="F51">
        <v>169.71</v>
      </c>
      <c r="G51" s="4">
        <f t="shared" si="0"/>
        <v>0.32996724890829682</v>
      </c>
    </row>
    <row r="52" spans="1:7" x14ac:dyDescent="0.35">
      <c r="A52" t="s">
        <v>180</v>
      </c>
      <c r="B52">
        <v>2018</v>
      </c>
      <c r="C52">
        <v>59</v>
      </c>
      <c r="D52">
        <v>22.67</v>
      </c>
      <c r="E52">
        <v>227.29</v>
      </c>
      <c r="F52">
        <v>176.79</v>
      </c>
      <c r="G52" s="4">
        <f t="shared" si="0"/>
        <v>0.32766675317934074</v>
      </c>
    </row>
    <row r="53" spans="1:7" x14ac:dyDescent="0.35">
      <c r="A53" t="s">
        <v>181</v>
      </c>
      <c r="B53">
        <v>2018</v>
      </c>
      <c r="C53">
        <v>13</v>
      </c>
      <c r="D53">
        <v>24.23</v>
      </c>
      <c r="E53">
        <v>201.16</v>
      </c>
      <c r="F53">
        <v>157.16</v>
      </c>
      <c r="G53" s="4">
        <f t="shared" si="0"/>
        <v>0.33100127886857744</v>
      </c>
    </row>
    <row r="54" spans="1:7" x14ac:dyDescent="0.35">
      <c r="A54" t="s">
        <v>182</v>
      </c>
      <c r="B54">
        <v>2018</v>
      </c>
      <c r="C54">
        <v>5</v>
      </c>
      <c r="D54">
        <v>25.26</v>
      </c>
      <c r="E54">
        <v>204.31</v>
      </c>
      <c r="F54">
        <v>161.82</v>
      </c>
      <c r="G54" s="4">
        <f t="shared" si="0"/>
        <v>0.31114528412419457</v>
      </c>
    </row>
    <row r="55" spans="1:7" x14ac:dyDescent="0.35">
      <c r="A55" t="s">
        <v>183</v>
      </c>
      <c r="B55">
        <v>2018</v>
      </c>
      <c r="C55">
        <v>44</v>
      </c>
      <c r="D55">
        <v>23.85</v>
      </c>
      <c r="E55">
        <v>217.18</v>
      </c>
      <c r="F55">
        <v>171.82</v>
      </c>
      <c r="G55" s="4">
        <f t="shared" si="0"/>
        <v>0.30654862472122735</v>
      </c>
    </row>
    <row r="56" spans="1:7" x14ac:dyDescent="0.35">
      <c r="A56" t="s">
        <v>184</v>
      </c>
      <c r="B56">
        <v>2018</v>
      </c>
      <c r="C56">
        <v>17</v>
      </c>
      <c r="D56">
        <v>24.55</v>
      </c>
      <c r="E56">
        <v>203.92</v>
      </c>
      <c r="F56">
        <v>158.47</v>
      </c>
      <c r="G56" s="4">
        <f t="shared" si="0"/>
        <v>0.33938172043010745</v>
      </c>
    </row>
    <row r="57" spans="1:7" x14ac:dyDescent="0.35">
      <c r="A57" t="s">
        <v>185</v>
      </c>
      <c r="B57">
        <v>2018</v>
      </c>
      <c r="C57">
        <v>39</v>
      </c>
      <c r="D57">
        <v>23.34</v>
      </c>
      <c r="E57">
        <v>176.26</v>
      </c>
      <c r="F57">
        <v>138.97</v>
      </c>
      <c r="G57" s="4">
        <f t="shared" si="0"/>
        <v>0.32249416241459822</v>
      </c>
    </row>
    <row r="58" spans="1:7" x14ac:dyDescent="0.35">
      <c r="A58" t="s">
        <v>186</v>
      </c>
      <c r="B58">
        <v>2018</v>
      </c>
      <c r="C58">
        <v>44</v>
      </c>
      <c r="D58">
        <v>24</v>
      </c>
      <c r="E58">
        <v>199.76</v>
      </c>
      <c r="F58">
        <v>159.75</v>
      </c>
      <c r="G58" s="4">
        <f t="shared" si="0"/>
        <v>0.29473296500920804</v>
      </c>
    </row>
    <row r="59" spans="1:7" x14ac:dyDescent="0.35">
      <c r="A59" t="s">
        <v>187</v>
      </c>
      <c r="B59">
        <v>2018</v>
      </c>
      <c r="C59">
        <v>17</v>
      </c>
      <c r="D59">
        <v>24.57</v>
      </c>
      <c r="E59">
        <v>216.59</v>
      </c>
      <c r="F59">
        <v>167.98</v>
      </c>
      <c r="G59" s="4">
        <f t="shared" si="0"/>
        <v>0.33895823164353961</v>
      </c>
    </row>
    <row r="60" spans="1:7" x14ac:dyDescent="0.35">
      <c r="A60" t="s">
        <v>188</v>
      </c>
      <c r="B60">
        <v>2018</v>
      </c>
      <c r="C60">
        <v>69</v>
      </c>
      <c r="D60">
        <v>24.53</v>
      </c>
      <c r="E60">
        <v>165.15</v>
      </c>
      <c r="F60">
        <v>129.94</v>
      </c>
      <c r="G60" s="4">
        <f t="shared" si="0"/>
        <v>0.33402902950384222</v>
      </c>
    </row>
    <row r="61" spans="1:7" x14ac:dyDescent="0.35">
      <c r="A61" t="s">
        <v>189</v>
      </c>
      <c r="B61">
        <v>2018</v>
      </c>
      <c r="C61">
        <v>55</v>
      </c>
      <c r="D61">
        <v>23.96</v>
      </c>
      <c r="E61">
        <v>223.64</v>
      </c>
      <c r="F61">
        <v>178.59</v>
      </c>
      <c r="G61" s="4">
        <f t="shared" si="0"/>
        <v>0.29134061954342616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Lux</vt:lpstr>
      <vt:lpstr>SW Station</vt:lpstr>
      <vt:lpstr>NW Station</vt:lpstr>
    </vt:vector>
  </TitlesOfParts>
  <Company>Michigan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Behrens, Eric</dc:creator>
  <cp:lastModifiedBy>Markus Bauer</cp:lastModifiedBy>
  <dcterms:created xsi:type="dcterms:W3CDTF">2018-12-04T14:45:59Z</dcterms:created>
  <dcterms:modified xsi:type="dcterms:W3CDTF">2025-06-19T20:40:22Z</dcterms:modified>
</cp:coreProperties>
</file>